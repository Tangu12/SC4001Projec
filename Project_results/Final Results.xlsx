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imon\PycharmProjects\SC4001_Project\Project_results\"/>
    </mc:Choice>
  </mc:AlternateContent>
  <xr:revisionPtr revIDLastSave="0" documentId="13_ncr:1_{43CCD910-26F6-4D70-8397-DE3677ACB4A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3" sheetId="3" r:id="rId1"/>
    <sheet name="Sheet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6" i="1" l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5" i="1"/>
</calcChain>
</file>

<file path=xl/sharedStrings.xml><?xml version="1.0" encoding="utf-8"?>
<sst xmlns="http://schemas.openxmlformats.org/spreadsheetml/2006/main" count="142" uniqueCount="57">
  <si>
    <t>Model</t>
  </si>
  <si>
    <t>Metric</t>
  </si>
  <si>
    <t>Run 1</t>
  </si>
  <si>
    <t>Run 2</t>
  </si>
  <si>
    <t>Run 3</t>
  </si>
  <si>
    <t>Run 4</t>
  </si>
  <si>
    <t>Run 5</t>
  </si>
  <si>
    <t>Avg</t>
  </si>
  <si>
    <t>MixModel1 1</t>
  </si>
  <si>
    <t>acc</t>
  </si>
  <si>
    <t>loss</t>
  </si>
  <si>
    <t>auc</t>
  </si>
  <si>
    <t>time_taken</t>
  </si>
  <si>
    <t>MixModel1 2</t>
  </si>
  <si>
    <t>MixModel1 3</t>
  </si>
  <si>
    <t>MixModel1 4</t>
  </si>
  <si>
    <t>MixModel1 5</t>
  </si>
  <si>
    <t>MixModel1 6</t>
  </si>
  <si>
    <t>MixModel1 7</t>
  </si>
  <si>
    <t>MixModel1 8</t>
  </si>
  <si>
    <t>MixModel1 9</t>
  </si>
  <si>
    <t>MixModel1 10</t>
  </si>
  <si>
    <t>MixModel1 11</t>
  </si>
  <si>
    <t>MixModel1 12</t>
  </si>
  <si>
    <t>MixModel1 13</t>
  </si>
  <si>
    <t>MixModel1 14</t>
  </si>
  <si>
    <t>MixModel1 15</t>
  </si>
  <si>
    <t>MixModel1 16</t>
  </si>
  <si>
    <t>MixModel1 17</t>
  </si>
  <si>
    <t>MixModel1 18</t>
  </si>
  <si>
    <t>MixModel1(
  (net): Sequential(
    (0): Conv1d(1, 64, kernel_size=(7,), stride=(1,), padding=(3,))
    (1): BatchNorm1d(64, eps=1e-05, momentum=0.1, affine=True, track_running_stats=True)
    (2): ReLU()
    (3): Conv1d(64, 64, kernel_size=(5,), stride=(2,), padding=(2,))
    (4): BatchNorm1d(64, eps=1e-05, momentum=0.1, affine=True, track_running_stats=True)
    (5): ReLU()
    (6): Conv1d(64, 64, kernel_size=(3,), stride=(2,), padding=(1,))
    (7): BatchNorm1d(64, eps=1e-05, momentum=0.1, affine=True, track_running_stats=True)
    (8): ReLU()
    (9): MaxPool1d(kernel_size=2, stride=2, padding=0, dilation=1, ceil_mode=True)
  )
  (lstm1): LSTM(64, 64, batch_first=True)
  (lstm2): LSTM(64, 64, batch_first=True)
  (net1): Sequential(
    (0): Linear(in_features=7, out_features=64, bias=True)
    (1): ReLU()
    (2): Linear(in_features=64, out_features=64, bias=True)
    (3): ReLU()
  )
  (fc): Linear(in_features=128, out_features=2, bias=True)
)</t>
  </si>
  <si>
    <t>MixModel1(
  (net): Sequential(
    (0): Conv1d(1, 128, kernel_size=(7,), stride=(1,), padding=(3,))
    (1): BatchNorm1d(128, eps=1e-05, momentum=0.1, affine=True, track_running_stats=True)
    (2): ReLU()
    (3): Conv1d(128, 128, kernel_size=(5,), stride=(2,), padding=(2,))
    (4): BatchNorm1d(128, eps=1e-05, momentum=0.1, affine=True, track_running_stats=True)
    (5): ReLU()
    (6): Conv1d(128, 128, kernel_size=(3,), stride=(2,), padding=(1,))
    (7): BatchNorm1d(128, eps=1e-05, momentum=0.1, affine=True, track_running_stats=True)
    (8): ReLU()
    (9): MaxPool1d(kernel_size=2, stride=2, padding=0, dilation=1, ceil_mode=True)
  )
  (lstm1): LSTM(128, 128, batch_first=True)
  (lstm2): LSTM(128, 128, batch_first=True)
  (net1): Sequential(
    (0): Linear(in_features=7, out_features=128, bias=True)
    (1): ReLU()
    (2): Linear(in_features=128, out_features=128, bias=True)
    (3): ReLU()
  )
  (fc): Linear(in_features=256, out_features=2, bias=True)
)</t>
  </si>
  <si>
    <t>MixModel1(
  (net): Sequential(
    (0): Conv1d(1, 16, kernel_size=(7,), stride=(1,), padding=(3,))
    (1): BatchNorm1d(16, eps=1e-05, momentum=0.1, affine=True, track_running_stats=True)
    (2): ReLU()
    (3): Conv1d(16, 16, kernel_size=(5,), stride=(2,), padding=(2,))
    (4): BatchNorm1d(16, eps=1e-05, momentum=0.1, affine=True, track_running_stats=True)
    (5): ReLU()
    (6): Conv1d(16, 16, kernel_size=(3,), stride=(2,), padding=(1,))
    (7): BatchNorm1d(16, eps=1e-05, momentum=0.1, affine=True, track_running_stats=True)
    (8): ReLU()
    (9): MaxPool1d(kernel_size=2, stride=2, padding=0, dilation=1, ceil_mode=True)
  )
  (lstm1): LSTM(16, 16, batch_first=True)
  (lstm2): LSTM(16, 16, batch_first=True)
  (net1): Sequential(
    (0): Linear(in_features=7, out_features=16, bias=True)
    (1): ReLU()
    (2): Linear(in_features=16, out_features=16, bias=True)
    (3): ReLU()
  )
  (fc): Linear(in_features=32, out_features=2, bias=True)
)</t>
  </si>
  <si>
    <t>MixModel1(
  (net): Sequential(
    (0): Conv1d(1, 16, kernel_size=(7,), stride=(1,), padding=(3,))
    (1): BatchNorm1d(16, eps=1e-05, momentum=0.1, affine=True, track_running_stats=True)
    (2): ReLU()
    (3): Conv1d(16, 16, kernel_size=(5,), stride=(2,), padding=(2,))
    (4): BatchNorm1d(16, eps=1e-05, momentum=0.1, affine=True, track_running_stats=True)
    (5): ReLU()
    (6): Conv1d(16, 16, kernel_size=(3,), stride=(2,), padding=(1,))
    (7): BatchNorm1d(16, eps=1e-05, momentum=0.1, affine=True, track_running_stats=True)
    (8): ReLU()
    (9): MaxPool1d(kernel_size=2, stride=2, padding=0, dilation=1, ceil_mode=True)
  )
  (lstm1): LSTM(16, 16, batch_first=True)
  (lstm2): LSTM(16, 16, batch_first=True)
  (net1): Sequential(
    (0): Linear(in_features=7, out_features=32, bias=True)
    (1): ReLU()
    (2): Linear(in_features=32, out_features=32, bias=True)
    (3): ReLU()
  )
  (fc): Linear(in_features=48, out_features=2, bias=True)
)</t>
  </si>
  <si>
    <t>MixModel1(
  (net): Sequential(
    (0): Conv1d(1, 16, kernel_size=(7,), stride=(1,), padding=(3,))
    (1): BatchNorm1d(16, eps=1e-05, momentum=0.1, affine=True, track_running_stats=True)
    (2): ReLU()
    (3): Conv1d(16, 16, kernel_size=(5,), stride=(2,), padding=(2,))
    (4): BatchNorm1d(16, eps=1e-05, momentum=0.1, affine=True, track_running_stats=True)
    (5): ReLU()
    (6): Conv1d(16, 16, kernel_size=(3,), stride=(2,), padding=(1,))
    (7): BatchNorm1d(16, eps=1e-05, momentum=0.1, affine=True, track_running_stats=True)
    (8): ReLU()
    (9): MaxPool1d(kernel_size=2, stride=2, padding=0, dilation=1, ceil_mode=True)
  )
  (lstm1): LSTM(16, 32, batch_first=True)
  (lstm2): LSTM(32, 32, batch_first=True)
  (net1): Sequential(
    (0): Linear(in_features=7, out_features=16, bias=True)
    (1): ReLU()
    (2): Linear(in_features=16, out_features=16, bias=True)
    (3): ReLU()
  )
  (fc): Linear(in_features=48, out_features=2, bias=True)
)</t>
  </si>
  <si>
    <t>MixModel1(
  (net): Sequential(
    (0): Conv1d(1, 16, kernel_size=(7,), stride=(1,), padding=(3,))
    (1): BatchNorm1d(16, eps=1e-05, momentum=0.1, affine=True, track_running_stats=True)
    (2): ReLU()
    (3): Conv1d(16, 16, kernel_size=(5,), stride=(2,), padding=(2,))
    (4): BatchNorm1d(16, eps=1e-05, momentum=0.1, affine=True, track_running_stats=True)
    (5): ReLU()
    (6): Conv1d(16, 16, kernel_size=(3,), stride=(2,), padding=(1,))
    (7): BatchNorm1d(16, eps=1e-05, momentum=0.1, affine=True, track_running_stats=True)
    (8): ReLU()
    (9): MaxPool1d(kernel_size=2, stride=2, padding=0, dilation=1, ceil_mode=True)
  )
  (lstm1): LSTM(16, 32, batch_first=True)
  (lstm2): LSTM(32, 32, batch_first=True)
  (net1): Sequential(
    (0): Linear(in_features=7, out_features=32, bias=True)
    (1): ReLU()
    (2): Linear(in_features=32, out_features=32, bias=True)
    (3): ReLU()
  )
  (fc): Linear(in_features=64, out_features=2, bias=True)
)</t>
  </si>
  <si>
    <t>MixModel1(
  (net): Sequential(
    (0): Conv1d(1, 16, kernel_size=(7,), stride=(1,), padding=(3,))
    (1): BatchNorm1d(16, eps=1e-05, momentum=0.1, affine=True, track_running_stats=True)
    (2): ReLU()
    (3): Conv1d(16, 16, kernel_size=(5,), stride=(2,), padding=(2,))
    (4): BatchNorm1d(16, eps=1e-05, momentum=0.1, affine=True, track_running_stats=True)
    (5): ReLU()
    (6): Conv1d(16, 16, kernel_size=(3,), stride=(2,), padding=(1,))
    (7): BatchNorm1d(16, eps=1e-05, momentum=0.1, affine=True, track_running_stats=True)
    (8): ReLU()
    (9): MaxPool1d(kernel_size=2, stride=2, padding=0, dilation=1, ceil_mode=True)
  )
  (lstm1): LSTM(16, 64, batch_first=True)
  (lstm2): LSTM(64, 64, batch_first=True)
  (net1): Sequential(
    (0): Linear(in_features=7, out_features=16, bias=True)
    (1): ReLU()
    (2): Linear(in_features=16, out_features=16, bias=True)
    (3): ReLU()
  )
  (fc): Linear(in_features=80, out_features=2, bias=True)
)</t>
  </si>
  <si>
    <t>MixModel1(
  (net): Sequential(
    (0): Conv1d(1, 16, kernel_size=(7,), stride=(1,), padding=(3,))
    (1): BatchNorm1d(16, eps=1e-05, momentum=0.1, affine=True, track_running_stats=True)
    (2): ReLU()
    (3): Conv1d(16, 16, kernel_size=(5,), stride=(2,), padding=(2,))
    (4): BatchNorm1d(16, eps=1e-05, momentum=0.1, affine=True, track_running_stats=True)
    (5): ReLU()
    (6): Conv1d(16, 16, kernel_size=(3,), stride=(2,), padding=(1,))
    (7): BatchNorm1d(16, eps=1e-05, momentum=0.1, affine=True, track_running_stats=True)
    (8): ReLU()
    (9): MaxPool1d(kernel_size=2, stride=2, padding=0, dilation=1, ceil_mode=True)
  )
  (lstm1): LSTM(16, 64, batch_first=True)
  (lstm2): LSTM(64, 64, batch_first=True)
  (net1): Sequential(
    (0): Linear(in_features=7, out_features=32, bias=True)
    (1): ReLU()
    (2): Linear(in_features=32, out_features=32, bias=True)
    (3): ReLU()
  )
  (fc): Linear(in_features=96, out_features=2, bias=True)
)</t>
  </si>
  <si>
    <t>MixModel1(
  (net): Sequential(
    (0): Conv1d(1, 32, kernel_size=(7,), stride=(1,), padding=(3,))
    (1): BatchNorm1d(32, eps=1e-05, momentum=0.1, affine=True, track_running_stats=True)
    (2): ReLU()
    (3): Conv1d(32, 32, kernel_size=(5,), stride=(2,), padding=(2,))
    (4): BatchNorm1d(32, eps=1e-05, momentum=0.1, affine=True, track_running_stats=True)
    (5): ReLU()
    (6): Conv1d(32, 32, kernel_size=(3,), stride=(2,), padding=(1,))
    (7): BatchNorm1d(32, eps=1e-05, momentum=0.1, affine=True, track_running_stats=True)
    (8): ReLU()
    (9): MaxPool1d(kernel_size=2, stride=2, padding=0, dilation=1, ceil_mode=True)
  )
  (lstm1): LSTM(32, 16, batch_first=True)
  (lstm2): LSTM(16, 16, batch_first=True)
  (net1): Sequential(
    (0): Linear(in_features=7, out_features=16, bias=True)
    (1): ReLU()
    (2): Linear(in_features=16, out_features=16, bias=True)
    (3): ReLU()
  )
  (fc): Linear(in_features=32, out_features=2, bias=True)
)</t>
  </si>
  <si>
    <t>MixModel1(
  (net): Sequential(
    (0): Conv1d(1, 32, kernel_size=(7,), stride=(1,), padding=(3,))
    (1): BatchNorm1d(32, eps=1e-05, momentum=0.1, affine=True, track_running_stats=True)
    (2): ReLU()
    (3): Conv1d(32, 32, kernel_size=(5,), stride=(2,), padding=(2,))
    (4): BatchNorm1d(32, eps=1e-05, momentum=0.1, affine=True, track_running_stats=True)
    (5): ReLU()
    (6): Conv1d(32, 32, kernel_size=(3,), stride=(2,), padding=(1,))
    (7): BatchNorm1d(32, eps=1e-05, momentum=0.1, affine=True, track_running_stats=True)
    (8): ReLU()
    (9): MaxPool1d(kernel_size=2, stride=2, padding=0, dilation=1, ceil_mode=True)
  )
  (lstm1): LSTM(32, 16, batch_first=True)
  (lstm2): LSTM(16, 16, batch_first=True)
  (net1): Sequential(
    (0): Linear(in_features=7, out_features=32, bias=True)
    (1): ReLU()
    (2): Linear(in_features=32, out_features=32, bias=True)
    (3): ReLU()
  )
  (fc): Linear(in_features=48, out_features=2, bias=True)
)</t>
  </si>
  <si>
    <t>MixModel1(
  (net): Sequential(
    (0): Conv1d(1, 32, kernel_size=(7,), stride=(1,), padding=(3,))
    (1): BatchNorm1d(32, eps=1e-05, momentum=0.1, affine=True, track_running_stats=True)
    (2): ReLU()
    (3): Conv1d(32, 32, kernel_size=(5,), stride=(2,), padding=(2,))
    (4): BatchNorm1d(32, eps=1e-05, momentum=0.1, affine=True, track_running_stats=True)
    (5): ReLU()
    (6): Conv1d(32, 32, kernel_size=(3,), stride=(2,), padding=(1,))
    (7): BatchNorm1d(32, eps=1e-05, momentum=0.1, affine=True, track_running_stats=True)
    (8): ReLU()
    (9): MaxPool1d(kernel_size=2, stride=2, padding=0, dilation=1, ceil_mode=True)
  )
  (lstm1): LSTM(32, 32, batch_first=True)
  (lstm2): LSTM(32, 32, batch_first=True)
  (net1): Sequential(
    (0): Linear(in_features=7, out_features=16, bias=True)
    (1): ReLU()
    (2): Linear(in_features=16, out_features=16, bias=True)
    (3): ReLU()
  )
  (fc): Linear(in_features=48, out_features=2, bias=True)
)</t>
  </si>
  <si>
    <t>MixModel1(
  (net): Sequential(
    (0): Conv1d(1, 32, kernel_size=(7,), stride=(1,), padding=(3,))
    (1): BatchNorm1d(32, eps=1e-05, momentum=0.1, affine=True, track_running_stats=True)
    (2): ReLU()
    (3): Conv1d(32, 32, kernel_size=(5,), stride=(2,), padding=(2,))
    (4): BatchNorm1d(32, eps=1e-05, momentum=0.1, affine=True, track_running_stats=True)
    (5): ReLU()
    (6): Conv1d(32, 32, kernel_size=(3,), stride=(2,), padding=(1,))
    (7): BatchNorm1d(32, eps=1e-05, momentum=0.1, affine=True, track_running_stats=True)
    (8): ReLU()
    (9): MaxPool1d(kernel_size=2, stride=2, padding=0, dilation=1, ceil_mode=True)
  )
  (lstm1): LSTM(32, 32, batch_first=True)
  (lstm2): LSTM(32, 32, batch_first=True)
  (net1): Sequential(
    (0): Linear(in_features=7, out_features=32, bias=True)
    (1): ReLU()
    (2): Linear(in_features=32, out_features=32, bias=True)
    (3): ReLU()
  )
  (fc): Linear(in_features=64, out_features=2, bias=True)
)</t>
  </si>
  <si>
    <t>MixModel1(
  (net): Sequential(
    (0): Conv1d(1, 32, kernel_size=(7,), stride=(1,), padding=(3,))
    (1): BatchNorm1d(32, eps=1e-05, momentum=0.1, affine=True, track_running_stats=True)
    (2): ReLU()
    (3): Conv1d(32, 32, kernel_size=(5,), stride=(2,), padding=(2,))
    (4): BatchNorm1d(32, eps=1e-05, momentum=0.1, affine=True, track_running_stats=True)
    (5): ReLU()
    (6): Conv1d(32, 32, kernel_size=(3,), stride=(2,), padding=(1,))
    (7): BatchNorm1d(32, eps=1e-05, momentum=0.1, affine=True, track_running_stats=True)
    (8): ReLU()
    (9): MaxPool1d(kernel_size=2, stride=2, padding=0, dilation=1, ceil_mode=True)
  )
  (lstm1): LSTM(32, 64, batch_first=True)
  (lstm2): LSTM(64, 64, batch_first=True)
  (net1): Sequential(
    (0): Linear(in_features=7, out_features=16, bias=True)
    (1): ReLU()
    (2): Linear(in_features=16, out_features=16, bias=True)
    (3): ReLU()
  )
  (fc): Linear(in_features=80, out_features=2, bias=True)
)</t>
  </si>
  <si>
    <t>MixModel1(
  (net): Sequential(
    (0): Conv1d(1, 32, kernel_size=(7,), stride=(1,), padding=(3,))
    (1): BatchNorm1d(32, eps=1e-05, momentum=0.1, affine=True, track_running_stats=True)
    (2): ReLU()
    (3): Conv1d(32, 32, kernel_size=(5,), stride=(2,), padding=(2,))
    (4): BatchNorm1d(32, eps=1e-05, momentum=0.1, affine=True, track_running_stats=True)
    (5): ReLU()
    (6): Conv1d(32, 32, kernel_size=(3,), stride=(2,), padding=(1,))
    (7): BatchNorm1d(32, eps=1e-05, momentum=0.1, affine=True, track_running_stats=True)
    (8): ReLU()
    (9): MaxPool1d(kernel_size=2, stride=2, padding=0, dilation=1, ceil_mode=True)
  )
  (lstm1): LSTM(32, 64, batch_first=True)
  (lstm2): LSTM(64, 64, batch_first=True)
  (net1): Sequential(
    (0): Linear(in_features=7, out_features=32, bias=True)
    (1): ReLU()
    (2): Linear(in_features=32, out_features=32, bias=True)
    (3): ReLU()
  )
  (fc): Linear(in_features=96, out_features=2, bias=True)
)</t>
  </si>
  <si>
    <t>MixModel1(
  (net): Sequential(
    (0): Conv1d(1, 64, kernel_size=(7,), stride=(1,), padding=(3,))
    (1): BatchNorm1d(64, eps=1e-05, momentum=0.1, affine=True, track_running_stats=True)
    (2): ReLU()
    (3): Conv1d(64, 64, kernel_size=(5,), stride=(2,), padding=(2,))
    (4): BatchNorm1d(64, eps=1e-05, momentum=0.1, affine=True, track_running_stats=True)
    (5): ReLU()
    (6): Conv1d(64, 64, kernel_size=(3,), stride=(2,), padding=(1,))
    (7): BatchNorm1d(64, eps=1e-05, momentum=0.1, affine=True, track_running_stats=True)
    (8): ReLU()
    (9): MaxPool1d(kernel_size=2, stride=2, padding=0, dilation=1, ceil_mode=True)
  )
  (lstm1): LSTM(64, 16, batch_first=True)
  (lstm2): LSTM(16, 16, batch_first=True)
  (net1): Sequential(
    (0): Linear(in_features=7, out_features=16, bias=True)
    (1): ReLU()
    (2): Linear(in_features=16, out_features=16, bias=True)
    (3): ReLU()
  )
  (fc): Linear(in_features=32, out_features=2, bias=True)
)</t>
  </si>
  <si>
    <t>MixModel1(
  (net): Sequential(
    (0): Conv1d(1, 64, kernel_size=(7,), stride=(1,), padding=(3,))
    (1): BatchNorm1d(64, eps=1e-05, momentum=0.1, affine=True, track_running_stats=True)
    (2): ReLU()
    (3): Conv1d(64, 64, kernel_size=(5,), stride=(2,), padding=(2,))
    (4): BatchNorm1d(64, eps=1e-05, momentum=0.1, affine=True, track_running_stats=True)
    (5): ReLU()
    (6): Conv1d(64, 64, kernel_size=(3,), stride=(2,), padding=(1,))
    (7): BatchNorm1d(64, eps=1e-05, momentum=0.1, affine=True, track_running_stats=True)
    (8): ReLU()
    (9): MaxPool1d(kernel_size=2, stride=2, padding=0, dilation=1, ceil_mode=True)
  )
  (lstm1): LSTM(64, 16, batch_first=True)
  (lstm2): LSTM(16, 16, batch_first=True)
  (net1): Sequential(
    (0): Linear(in_features=7, out_features=32, bias=True)
    (1): ReLU()
    (2): Linear(in_features=32, out_features=32, bias=True)
    (3): ReLU()
  )
  (fc): Linear(in_features=48, out_features=2, bias=True)
)</t>
  </si>
  <si>
    <t>MixModel1(
  (net): Sequential(
    (0): Conv1d(1, 64, kernel_size=(7,), stride=(1,), padding=(3,))
    (1): BatchNorm1d(64, eps=1e-05, momentum=0.1, affine=True, track_running_stats=True)
    (2): ReLU()
    (3): Conv1d(64, 64, kernel_size=(5,), stride=(2,), padding=(2,))
    (4): BatchNorm1d(64, eps=1e-05, momentum=0.1, affine=True, track_running_stats=True)
    (5): ReLU()
    (6): Conv1d(64, 64, kernel_size=(3,), stride=(2,), padding=(1,))
    (7): BatchNorm1d(64, eps=1e-05, momentum=0.1, affine=True, track_running_stats=True)
    (8): ReLU()
    (9): MaxPool1d(kernel_size=2, stride=2, padding=0, dilation=1, ceil_mode=True)
  )
  (lstm1): LSTM(64, 32, batch_first=True)
  (lstm2): LSTM(32, 32, batch_first=True)
  (net1): Sequential(
    (0): Linear(in_features=7, out_features=16, bias=True)
    (1): ReLU()
    (2): Linear(in_features=16, out_features=16, bias=True)
    (3): ReLU()
  )
  (fc): Linear(in_features=48, out_features=2, bias=True)
)</t>
  </si>
  <si>
    <t>MixModel1(
  (net): Sequential(
    (0): Conv1d(1, 64, kernel_size=(7,), stride=(1,), padding=(3,))
    (1): BatchNorm1d(64, eps=1e-05, momentum=0.1, affine=True, track_running_stats=True)
    (2): ReLU()
    (3): Conv1d(64, 64, kernel_size=(5,), stride=(2,), padding=(2,))
    (4): BatchNorm1d(64, eps=1e-05, momentum=0.1, affine=True, track_running_stats=True)
    (5): ReLU()
    (6): Conv1d(64, 64, kernel_size=(3,), stride=(2,), padding=(1,))
    (7): BatchNorm1d(64, eps=1e-05, momentum=0.1, affine=True, track_running_stats=True)
    (8): ReLU()
    (9): MaxPool1d(kernel_size=2, stride=2, padding=0, dilation=1, ceil_mode=True)
  )
  (lstm1): LSTM(64, 32, batch_first=True)
  (lstm2): LSTM(32, 32, batch_first=True)
  (net1): Sequential(
    (0): Linear(in_features=7, out_features=32, bias=True)
    (1): ReLU()
    (2): Linear(in_features=32, out_features=32, bias=True)
    (3): ReLU()
  )
  (fc): Linear(in_features=64, out_features=2, bias=True)
)</t>
  </si>
  <si>
    <t>MixModel1(
  (net): Sequential(
    (0): Conv1d(1, 64, kernel_size=(7,), stride=(1,), padding=(3,))
    (1): BatchNorm1d(64, eps=1e-05, momentum=0.1, affine=True, track_running_stats=True)
    (2): ReLU()
    (3): Conv1d(64, 64, kernel_size=(5,), stride=(2,), padding=(2,))
    (4): BatchNorm1d(64, eps=1e-05, momentum=0.1, affine=True, track_running_stats=True)
    (5): ReLU()
    (6): Conv1d(64, 64, kernel_size=(3,), stride=(2,), padding=(1,))
    (7): BatchNorm1d(64, eps=1e-05, momentum=0.1, affine=True, track_running_stats=True)
    (8): ReLU()
    (9): MaxPool1d(kernel_size=2, stride=2, padding=0, dilation=1, ceil_mode=True)
  )
  (lstm1): LSTM(64, 64, batch_first=True)
  (lstm2): LSTM(64, 64, batch_first=True)
  (net1): Sequential(
    (0): Linear(in_features=7, out_features=16, bias=True)
    (1): ReLU()
    (2): Linear(in_features=16, out_features=16, bias=True)
    (3): ReLU()
  )
  (fc): Linear(in_features=80, out_features=2, bias=True)
)</t>
  </si>
  <si>
    <t>MixModel1(
  (net): Sequential(
    (0): Conv1d(1, 64, kernel_size=(7,), stride=(1,), padding=(3,))
    (1): BatchNorm1d(64, eps=1e-05, momentum=0.1, affine=True, track_running_stats=True)
    (2): ReLU()
    (3): Conv1d(64, 64, kernel_size=(5,), stride=(2,), padding=(2,))
    (4): BatchNorm1d(64, eps=1e-05, momentum=0.1, affine=True, track_running_stats=True)
    (5): ReLU()
    (6): Conv1d(64, 64, kernel_size=(3,), stride=(2,), padding=(1,))
    (7): BatchNorm1d(64, eps=1e-05, momentum=0.1, affine=True, track_running_stats=True)
    (8): ReLU()
    (9): MaxPool1d(kernel_size=2, stride=2, padding=0, dilation=1, ceil_mode=True)
  )
  (lstm1): LSTM(64, 64, batch_first=True)
  (lstm2): LSTM(64, 64, batch_first=True)
  (net1): Sequential(
    (0): Linear(in_features=7, out_features=32, bias=True)
    (1): ReLU()
    (2): Linear(in_features=32, out_features=32, bias=True)
    (3): ReLU()
  )
  (fc): Linear(in_features=96, out_features=2, bias=True)
)</t>
  </si>
  <si>
    <t>MixModel1 19</t>
  </si>
  <si>
    <t>MixModel1 20</t>
  </si>
  <si>
    <t>Sum of Model</t>
  </si>
  <si>
    <t>Column Labels</t>
  </si>
  <si>
    <t>Row Labels</t>
  </si>
  <si>
    <t>Grand Total</t>
  </si>
  <si>
    <t>log_time_taken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</si>
</sst>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Accuracy vs Time Taken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F7278DC-7EEC-41A3-BC3E-5055E918EFCA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CF08-4C35-AABF-B5040523EC3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7915C4F-EA0E-405D-A945-627087577D7E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CF08-4C35-AABF-B5040523EC3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5CF29DA-323A-4C52-9C37-DB15F3AB86C7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CF08-4C35-AABF-B5040523EC3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EBAFF1E-F69A-491C-835F-890EC28C4818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CF08-4C35-AABF-B5040523EC3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11823CF-BAB1-4898-9355-6F2B1C562A62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CF08-4C35-AABF-B5040523EC3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4D927E5-1F28-44E2-BD5C-EA53D7F1889E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CF08-4C35-AABF-B5040523EC3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AC663D2-169C-4E25-BDA8-AFE8B78F887C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CF08-4C35-AABF-B5040523EC3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8785059-663E-450F-BD37-925986D9C369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CF08-4C35-AABF-B5040523EC3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1E16720-9F8A-4CF0-AB27-A4A72BA21342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CF08-4C35-AABF-B5040523EC3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36E59F0-6B12-40E5-AD25-D7518E76369A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CF08-4C35-AABF-B5040523EC3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B2FB702-E59D-4E4E-8F15-2593942C9B6F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CF08-4C35-AABF-B5040523EC3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07787F2-9D68-49F0-B30F-004320E18CCC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CF08-4C35-AABF-B5040523EC3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B012F5C-B9FE-44EB-8E50-EE8AB955CF46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CF08-4C35-AABF-B5040523EC3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CFDD958-5D32-4DE4-9AFC-767265BB6E19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CF08-4C35-AABF-B5040523EC3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94EFB25-9DD1-458A-8BE9-506429FB36E9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CF08-4C35-AABF-B5040523EC3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16951CB-3ADC-423C-B519-B9A9E150A8C5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CF08-4C35-AABF-B5040523EC3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1210613-0D39-4A7A-82AA-758EC7B56302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CF08-4C35-AABF-B5040523EC3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D1526A2-E347-4C36-86A2-7C176C4E5179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CF08-4C35-AABF-B5040523EC3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71F00A6-B892-42DF-87CA-791645E9BE14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CF08-4C35-AABF-B5040523EC3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FB9CA64-674A-4664-A11E-ABCA1FBDAB6F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CF08-4C35-AABF-B5040523EC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Sheet1!$AJ$5:$AJ$24</c:f>
              <c:numCache>
                <c:formatCode>General</c:formatCode>
                <c:ptCount val="20"/>
                <c:pt idx="0">
                  <c:v>0.92492344414460803</c:v>
                </c:pt>
                <c:pt idx="1">
                  <c:v>0.920285233698375</c:v>
                </c:pt>
                <c:pt idx="2">
                  <c:v>0.92241534747603104</c:v>
                </c:pt>
                <c:pt idx="3">
                  <c:v>0.92109260566991802</c:v>
                </c:pt>
                <c:pt idx="4">
                  <c:v>0.93712963782858005</c:v>
                </c:pt>
                <c:pt idx="5">
                  <c:v>0.93560096318810604</c:v>
                </c:pt>
                <c:pt idx="6">
                  <c:v>0.94091820538420101</c:v>
                </c:pt>
                <c:pt idx="7">
                  <c:v>0.94169969162927303</c:v>
                </c:pt>
                <c:pt idx="8">
                  <c:v>0.94300546898693605</c:v>
                </c:pt>
                <c:pt idx="9">
                  <c:v>0.94766120837935997</c:v>
                </c:pt>
                <c:pt idx="10">
                  <c:v>0.94903571241459606</c:v>
                </c:pt>
                <c:pt idx="11">
                  <c:v>0.95201651690873601</c:v>
                </c:pt>
                <c:pt idx="12">
                  <c:v>0.94591746747865701</c:v>
                </c:pt>
                <c:pt idx="13">
                  <c:v>0.94317723310509904</c:v>
                </c:pt>
                <c:pt idx="14">
                  <c:v>0.95048725194382699</c:v>
                </c:pt>
                <c:pt idx="15">
                  <c:v>0.95276375511276301</c:v>
                </c:pt>
                <c:pt idx="16">
                  <c:v>0.95929192982223099</c:v>
                </c:pt>
                <c:pt idx="17">
                  <c:v>0.959756114838763</c:v>
                </c:pt>
                <c:pt idx="18">
                  <c:v>0.95991077984071504</c:v>
                </c:pt>
                <c:pt idx="19">
                  <c:v>0.96591518919529096</c:v>
                </c:pt>
              </c:numCache>
            </c:numRef>
          </c:xVal>
          <c:yVal>
            <c:numRef>
              <c:f>Sheet1!$AK$5:$AK$24</c:f>
              <c:numCache>
                <c:formatCode>General</c:formatCode>
                <c:ptCount val="20"/>
                <c:pt idx="0">
                  <c:v>9.6450139045715293</c:v>
                </c:pt>
                <c:pt idx="1">
                  <c:v>9.9203055953979398</c:v>
                </c:pt>
                <c:pt idx="2">
                  <c:v>11.284923982620199</c:v>
                </c:pt>
                <c:pt idx="3">
                  <c:v>11.6189329051971</c:v>
                </c:pt>
                <c:pt idx="4">
                  <c:v>14.9143939876556</c:v>
                </c:pt>
                <c:pt idx="5">
                  <c:v>14.9516379547119</c:v>
                </c:pt>
                <c:pt idx="6">
                  <c:v>13.216869945526099</c:v>
                </c:pt>
                <c:pt idx="7">
                  <c:v>13.2849702072143</c:v>
                </c:pt>
                <c:pt idx="8">
                  <c:v>14.6537868595123</c:v>
                </c:pt>
                <c:pt idx="9">
                  <c:v>14.7624780082702</c:v>
                </c:pt>
                <c:pt idx="10">
                  <c:v>18.232567691802899</c:v>
                </c:pt>
                <c:pt idx="11">
                  <c:v>18.385205221176101</c:v>
                </c:pt>
                <c:pt idx="12">
                  <c:v>21.400384321212702</c:v>
                </c:pt>
                <c:pt idx="13">
                  <c:v>21.370075674056999</c:v>
                </c:pt>
                <c:pt idx="14">
                  <c:v>23.027383766174299</c:v>
                </c:pt>
                <c:pt idx="15">
                  <c:v>22.810675535202002</c:v>
                </c:pt>
                <c:pt idx="16">
                  <c:v>27.008988389968799</c:v>
                </c:pt>
                <c:pt idx="17">
                  <c:v>24.533869113922101</c:v>
                </c:pt>
                <c:pt idx="18">
                  <c:v>24.0794103240966</c:v>
                </c:pt>
                <c:pt idx="19">
                  <c:v>64.067157716751097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Sheet1!$AI$5:$AI$24</c15:f>
                <c15:dlblRangeCache>
                  <c:ptCount val="20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CF08-4C35-AABF-B5040523E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604944"/>
        <c:axId val="101060302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Accuracy vs Log Time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poly"/>
                  <c:order val="2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Sheet1!$AJ$5:$AJ$24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0.92492344414460803</c:v>
                      </c:pt>
                      <c:pt idx="1">
                        <c:v>0.920285233698375</c:v>
                      </c:pt>
                      <c:pt idx="2">
                        <c:v>0.92241534747603104</c:v>
                      </c:pt>
                      <c:pt idx="3">
                        <c:v>0.92109260566991802</c:v>
                      </c:pt>
                      <c:pt idx="4">
                        <c:v>0.93712963782858005</c:v>
                      </c:pt>
                      <c:pt idx="5">
                        <c:v>0.93560096318810604</c:v>
                      </c:pt>
                      <c:pt idx="6">
                        <c:v>0.94091820538420101</c:v>
                      </c:pt>
                      <c:pt idx="7">
                        <c:v>0.94169969162927303</c:v>
                      </c:pt>
                      <c:pt idx="8">
                        <c:v>0.94300546898693605</c:v>
                      </c:pt>
                      <c:pt idx="9">
                        <c:v>0.94766120837935997</c:v>
                      </c:pt>
                      <c:pt idx="10">
                        <c:v>0.94903571241459606</c:v>
                      </c:pt>
                      <c:pt idx="11">
                        <c:v>0.95201651690873601</c:v>
                      </c:pt>
                      <c:pt idx="12">
                        <c:v>0.94591746747865701</c:v>
                      </c:pt>
                      <c:pt idx="13">
                        <c:v>0.94317723310509904</c:v>
                      </c:pt>
                      <c:pt idx="14">
                        <c:v>0.95048725194382699</c:v>
                      </c:pt>
                      <c:pt idx="15">
                        <c:v>0.95276375511276301</c:v>
                      </c:pt>
                      <c:pt idx="16">
                        <c:v>0.95929192982223099</c:v>
                      </c:pt>
                      <c:pt idx="17">
                        <c:v>0.959756114838763</c:v>
                      </c:pt>
                      <c:pt idx="18">
                        <c:v>0.95991077984071504</c:v>
                      </c:pt>
                      <c:pt idx="19">
                        <c:v>0.96591518919529096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Sheet1!$AL$5:$AL$24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0.98430285807366547</c:v>
                      </c:pt>
                      <c:pt idx="1">
                        <c:v>0.99652505081857401</c:v>
                      </c:pt>
                      <c:pt idx="2">
                        <c:v>1.0524986379339607</c:v>
                      </c:pt>
                      <c:pt idx="3">
                        <c:v>1.0651662438318492</c:v>
                      </c:pt>
                      <c:pt idx="4">
                        <c:v>1.1736056114919746</c:v>
                      </c:pt>
                      <c:pt idx="5">
                        <c:v>1.1746887723077424</c:v>
                      </c:pt>
                      <c:pt idx="6">
                        <c:v>1.1211286165461691</c:v>
                      </c:pt>
                      <c:pt idx="7">
                        <c:v>1.123360584801476</c:v>
                      </c:pt>
                      <c:pt idx="8">
                        <c:v>1.165949870401372</c:v>
                      </c:pt>
                      <c:pt idx="9">
                        <c:v>1.1691592636516126</c:v>
                      </c:pt>
                      <c:pt idx="10">
                        <c:v>1.2608478346371692</c:v>
                      </c:pt>
                      <c:pt idx="11">
                        <c:v>1.2644684819572294</c:v>
                      </c:pt>
                      <c:pt idx="12">
                        <c:v>1.330421572745603</c:v>
                      </c:pt>
                      <c:pt idx="13">
                        <c:v>1.3298060600567783</c:v>
                      </c:pt>
                      <c:pt idx="14">
                        <c:v>1.3622445988215277</c:v>
                      </c:pt>
                      <c:pt idx="15">
                        <c:v>1.3581381470419398</c:v>
                      </c:pt>
                      <c:pt idx="16">
                        <c:v>1.4315083181792365</c:v>
                      </c:pt>
                      <c:pt idx="17">
                        <c:v>1.3897660440205175</c:v>
                      </c:pt>
                      <c:pt idx="18">
                        <c:v>1.381645847364581</c:v>
                      </c:pt>
                      <c:pt idx="19">
                        <c:v>1.806635457325529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9-CF08-4C35-AABF-B5040523EC34}"/>
                  </c:ext>
                </c:extLst>
              </c15:ser>
            </c15:filteredScatterSeries>
          </c:ext>
        </c:extLst>
      </c:scatterChart>
      <c:valAx>
        <c:axId val="101060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603024"/>
        <c:crosses val="autoZero"/>
        <c:crossBetween val="midCat"/>
      </c:valAx>
      <c:valAx>
        <c:axId val="101060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60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Accuracy vs Time Taken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18-4D16-9684-E9EE81CF898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18-4D16-9684-E9EE81CF898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318-4D16-9684-E9EE81CF898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18-4D16-9684-E9EE81CF898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18-4D16-9684-E9EE81CF898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18-4D16-9684-E9EE81CF898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318-4D16-9684-E9EE81CF898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318-4D16-9684-E9EE81CF898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318-4D16-9684-E9EE81CF898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318-4D16-9684-E9EE81CF898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318-4D16-9684-E9EE81CF898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318-4D16-9684-E9EE81CF898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318-4D16-9684-E9EE81CF898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318-4D16-9684-E9EE81CF898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318-4D16-9684-E9EE81CF898E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318-4D16-9684-E9EE81CF898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34138C9-592B-4A87-A8FF-5F9247643ABB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4318-4D16-9684-E9EE81CF898E}"/>
                </c:ext>
              </c:extLst>
            </c:dLbl>
            <c:dLbl>
              <c:idx val="17"/>
              <c:layout>
                <c:manualLayout>
                  <c:x val="-1.9545484965070255E-2"/>
                  <c:y val="-5.7835739282589678E-2"/>
                </c:manualLayout>
              </c:layout>
              <c:tx>
                <c:rich>
                  <a:bodyPr/>
                  <a:lstStyle/>
                  <a:p>
                    <a:fld id="{B93D794E-1B2B-4589-90E0-0C2E620AC1AF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318-4D16-9684-E9EE81CF898E}"/>
                </c:ext>
              </c:extLst>
            </c:dLbl>
            <c:dLbl>
              <c:idx val="18"/>
              <c:layout>
                <c:manualLayout>
                  <c:x val="2.6023733522899089E-3"/>
                  <c:y val="2.3494459025954241E-3"/>
                </c:manualLayout>
              </c:layout>
              <c:tx>
                <c:rich>
                  <a:bodyPr/>
                  <a:lstStyle/>
                  <a:p>
                    <a:fld id="{6F0829BA-C4CD-4688-BE93-375D48671D83}" type="CELLRANGE">
                      <a:rPr lang="en-US"/>
                      <a:pPr/>
                      <a:t>[CELLRANGE]</a:t>
                    </a:fld>
                    <a:endParaRPr lang="en-SG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4318-4D16-9684-E9EE81CF898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F7E5BCC-0E7C-4A24-96A1-B6D5B1934FE6}" type="CELLRANGE">
                      <a:rPr lang="en-SG"/>
                      <a:pPr/>
                      <a:t>[CELLRANGE]</a:t>
                    </a:fld>
                    <a:endParaRPr lang="en-SG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318-4D16-9684-E9EE81CF89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Sheet1!$AJ$5:$AJ$24</c:f>
              <c:numCache>
                <c:formatCode>General</c:formatCode>
                <c:ptCount val="20"/>
                <c:pt idx="0">
                  <c:v>0.92492344414460803</c:v>
                </c:pt>
                <c:pt idx="1">
                  <c:v>0.920285233698375</c:v>
                </c:pt>
                <c:pt idx="2">
                  <c:v>0.92241534747603104</c:v>
                </c:pt>
                <c:pt idx="3">
                  <c:v>0.92109260566991802</c:v>
                </c:pt>
                <c:pt idx="4">
                  <c:v>0.93712963782858005</c:v>
                </c:pt>
                <c:pt idx="5">
                  <c:v>0.93560096318810604</c:v>
                </c:pt>
                <c:pt idx="6">
                  <c:v>0.94091820538420101</c:v>
                </c:pt>
                <c:pt idx="7">
                  <c:v>0.94169969162927303</c:v>
                </c:pt>
                <c:pt idx="8">
                  <c:v>0.94300546898693605</c:v>
                </c:pt>
                <c:pt idx="9">
                  <c:v>0.94766120837935997</c:v>
                </c:pt>
                <c:pt idx="10">
                  <c:v>0.94903571241459606</c:v>
                </c:pt>
                <c:pt idx="11">
                  <c:v>0.95201651690873601</c:v>
                </c:pt>
                <c:pt idx="12">
                  <c:v>0.94591746747865701</c:v>
                </c:pt>
                <c:pt idx="13">
                  <c:v>0.94317723310509904</c:v>
                </c:pt>
                <c:pt idx="14">
                  <c:v>0.95048725194382699</c:v>
                </c:pt>
                <c:pt idx="15">
                  <c:v>0.95276375511276301</c:v>
                </c:pt>
                <c:pt idx="16">
                  <c:v>0.95929192982223099</c:v>
                </c:pt>
                <c:pt idx="17">
                  <c:v>0.959756114838763</c:v>
                </c:pt>
                <c:pt idx="18">
                  <c:v>0.95991077984071504</c:v>
                </c:pt>
                <c:pt idx="19">
                  <c:v>0.96591518919529096</c:v>
                </c:pt>
              </c:numCache>
            </c:numRef>
          </c:xVal>
          <c:yVal>
            <c:numRef>
              <c:f>Sheet1!$AK$5:$AK$24</c:f>
              <c:numCache>
                <c:formatCode>General</c:formatCode>
                <c:ptCount val="20"/>
                <c:pt idx="0">
                  <c:v>9.6450139045715293</c:v>
                </c:pt>
                <c:pt idx="1">
                  <c:v>9.9203055953979398</c:v>
                </c:pt>
                <c:pt idx="2">
                  <c:v>11.284923982620199</c:v>
                </c:pt>
                <c:pt idx="3">
                  <c:v>11.6189329051971</c:v>
                </c:pt>
                <c:pt idx="4">
                  <c:v>14.9143939876556</c:v>
                </c:pt>
                <c:pt idx="5">
                  <c:v>14.9516379547119</c:v>
                </c:pt>
                <c:pt idx="6">
                  <c:v>13.216869945526099</c:v>
                </c:pt>
                <c:pt idx="7">
                  <c:v>13.2849702072143</c:v>
                </c:pt>
                <c:pt idx="8">
                  <c:v>14.6537868595123</c:v>
                </c:pt>
                <c:pt idx="9">
                  <c:v>14.7624780082702</c:v>
                </c:pt>
                <c:pt idx="10">
                  <c:v>18.232567691802899</c:v>
                </c:pt>
                <c:pt idx="11">
                  <c:v>18.385205221176101</c:v>
                </c:pt>
                <c:pt idx="12">
                  <c:v>21.400384321212702</c:v>
                </c:pt>
                <c:pt idx="13">
                  <c:v>21.370075674056999</c:v>
                </c:pt>
                <c:pt idx="14">
                  <c:v>23.027383766174299</c:v>
                </c:pt>
                <c:pt idx="15">
                  <c:v>22.810675535202002</c:v>
                </c:pt>
                <c:pt idx="16">
                  <c:v>27.008988389968799</c:v>
                </c:pt>
                <c:pt idx="17">
                  <c:v>24.533869113922101</c:v>
                </c:pt>
                <c:pt idx="18">
                  <c:v>24.0794103240966</c:v>
                </c:pt>
                <c:pt idx="19">
                  <c:v>64.067157716751097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Sheet1!$AI$5:$AI$24</c15:f>
                <c15:dlblRangeCache>
                  <c:ptCount val="20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4318-4D16-9684-E9EE81CF8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604944"/>
        <c:axId val="101060302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Accuracy vs Log Time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poly"/>
                  <c:order val="2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Sheet1!$AJ$5:$AJ$24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0.92492344414460803</c:v>
                      </c:pt>
                      <c:pt idx="1">
                        <c:v>0.920285233698375</c:v>
                      </c:pt>
                      <c:pt idx="2">
                        <c:v>0.92241534747603104</c:v>
                      </c:pt>
                      <c:pt idx="3">
                        <c:v>0.92109260566991802</c:v>
                      </c:pt>
                      <c:pt idx="4">
                        <c:v>0.93712963782858005</c:v>
                      </c:pt>
                      <c:pt idx="5">
                        <c:v>0.93560096318810604</c:v>
                      </c:pt>
                      <c:pt idx="6">
                        <c:v>0.94091820538420101</c:v>
                      </c:pt>
                      <c:pt idx="7">
                        <c:v>0.94169969162927303</c:v>
                      </c:pt>
                      <c:pt idx="8">
                        <c:v>0.94300546898693605</c:v>
                      </c:pt>
                      <c:pt idx="9">
                        <c:v>0.94766120837935997</c:v>
                      </c:pt>
                      <c:pt idx="10">
                        <c:v>0.94903571241459606</c:v>
                      </c:pt>
                      <c:pt idx="11">
                        <c:v>0.95201651690873601</c:v>
                      </c:pt>
                      <c:pt idx="12">
                        <c:v>0.94591746747865701</c:v>
                      </c:pt>
                      <c:pt idx="13">
                        <c:v>0.94317723310509904</c:v>
                      </c:pt>
                      <c:pt idx="14">
                        <c:v>0.95048725194382699</c:v>
                      </c:pt>
                      <c:pt idx="15">
                        <c:v>0.95276375511276301</c:v>
                      </c:pt>
                      <c:pt idx="16">
                        <c:v>0.95929192982223099</c:v>
                      </c:pt>
                      <c:pt idx="17">
                        <c:v>0.959756114838763</c:v>
                      </c:pt>
                      <c:pt idx="18">
                        <c:v>0.95991077984071504</c:v>
                      </c:pt>
                      <c:pt idx="19">
                        <c:v>0.96591518919529096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Sheet1!$AL$5:$AL$24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0.98430285807366547</c:v>
                      </c:pt>
                      <c:pt idx="1">
                        <c:v>0.99652505081857401</c:v>
                      </c:pt>
                      <c:pt idx="2">
                        <c:v>1.0524986379339607</c:v>
                      </c:pt>
                      <c:pt idx="3">
                        <c:v>1.0651662438318492</c:v>
                      </c:pt>
                      <c:pt idx="4">
                        <c:v>1.1736056114919746</c:v>
                      </c:pt>
                      <c:pt idx="5">
                        <c:v>1.1746887723077424</c:v>
                      </c:pt>
                      <c:pt idx="6">
                        <c:v>1.1211286165461691</c:v>
                      </c:pt>
                      <c:pt idx="7">
                        <c:v>1.123360584801476</c:v>
                      </c:pt>
                      <c:pt idx="8">
                        <c:v>1.165949870401372</c:v>
                      </c:pt>
                      <c:pt idx="9">
                        <c:v>1.1691592636516126</c:v>
                      </c:pt>
                      <c:pt idx="10">
                        <c:v>1.2608478346371692</c:v>
                      </c:pt>
                      <c:pt idx="11">
                        <c:v>1.2644684819572294</c:v>
                      </c:pt>
                      <c:pt idx="12">
                        <c:v>1.330421572745603</c:v>
                      </c:pt>
                      <c:pt idx="13">
                        <c:v>1.3298060600567783</c:v>
                      </c:pt>
                      <c:pt idx="14">
                        <c:v>1.3622445988215277</c:v>
                      </c:pt>
                      <c:pt idx="15">
                        <c:v>1.3581381470419398</c:v>
                      </c:pt>
                      <c:pt idx="16">
                        <c:v>1.4315083181792365</c:v>
                      </c:pt>
                      <c:pt idx="17">
                        <c:v>1.3897660440205175</c:v>
                      </c:pt>
                      <c:pt idx="18">
                        <c:v>1.381645847364581</c:v>
                      </c:pt>
                      <c:pt idx="19">
                        <c:v>1.806635457325529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7-4318-4D16-9684-E9EE81CF898E}"/>
                  </c:ext>
                </c:extLst>
              </c15:ser>
            </c15:filteredScatterSeries>
          </c:ext>
        </c:extLst>
      </c:scatterChart>
      <c:valAx>
        <c:axId val="101060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603024"/>
        <c:crosses val="autoZero"/>
        <c:crossBetween val="midCat"/>
      </c:valAx>
      <c:valAx>
        <c:axId val="101060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Time Taken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60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323850</xdr:colOff>
      <xdr:row>14</xdr:row>
      <xdr:rowOff>147637</xdr:rowOff>
    </xdr:from>
    <xdr:to>
      <xdr:col>27</xdr:col>
      <xdr:colOff>19050</xdr:colOff>
      <xdr:row>29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3D12FE-0BEA-E530-E3D1-CFCC66EF4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32</xdr:row>
      <xdr:rowOff>0</xdr:rowOff>
    </xdr:from>
    <xdr:to>
      <xdr:col>26</xdr:col>
      <xdr:colOff>306114</xdr:colOff>
      <xdr:row>46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E73D9C-AD14-4BC9-B383-A8E914C87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m Ong" refreshedDate="45951.847618981483" createdVersion="8" refreshedVersion="8" minRefreshableVersion="3" recordCount="20" xr:uid="{B3BB4A10-1BD9-4CDF-8BE1-0C0E92ECF856}">
  <cacheSource type="worksheet">
    <worksheetSource ref="AI4:AK24" sheet="Sheet1"/>
  </cacheSource>
  <cacheFields count="3">
    <cacheField name="Model" numFmtId="0">
      <sharedItems containsSemiMixedTypes="0" containsString="0" containsNumber="1" containsInteger="1" minValue="1" maxValue="20"/>
    </cacheField>
    <cacheField name="acc" numFmtId="0">
      <sharedItems containsSemiMixedTypes="0" containsString="0" containsNumber="1" minValue="0.920285233698375" maxValue="0.96591518919529096" count="20">
        <n v="0.92492344414460803"/>
        <n v="0.920285233698375"/>
        <n v="0.92241534747603104"/>
        <n v="0.92109260566991802"/>
        <n v="0.93712963782858005"/>
        <n v="0.93560096318810604"/>
        <n v="0.94091820538420101"/>
        <n v="0.94169969162927303"/>
        <n v="0.94300546898693605"/>
        <n v="0.94766120837935997"/>
        <n v="0.94903571241459606"/>
        <n v="0.95201651690873601"/>
        <n v="0.94591746747865701"/>
        <n v="0.94317723310509904"/>
        <n v="0.95048725194382699"/>
        <n v="0.95276375511276301"/>
        <n v="0.95929192982223099"/>
        <n v="0.959756114838763"/>
        <n v="0.95991077984071504"/>
        <n v="0.96591518919529096"/>
      </sharedItems>
    </cacheField>
    <cacheField name="time_taken" numFmtId="0">
      <sharedItems containsSemiMixedTypes="0" containsString="0" containsNumber="1" minValue="9.6450139045715293" maxValue="64.067157716751097" count="20">
        <n v="9.6450139045715293"/>
        <n v="9.9203055953979398"/>
        <n v="11.284923982620199"/>
        <n v="11.6189329051971"/>
        <n v="14.9143939876556"/>
        <n v="14.9516379547119"/>
        <n v="13.216869945526099"/>
        <n v="13.2849702072143"/>
        <n v="14.6537868595123"/>
        <n v="14.7624780082702"/>
        <n v="18.232567691802899"/>
        <n v="18.385205221176101"/>
        <n v="21.400384321212702"/>
        <n v="21.370075674056999"/>
        <n v="23.027383766174299"/>
        <n v="22.810675535202002"/>
        <n v="27.008988389968799"/>
        <n v="24.533869113922101"/>
        <n v="24.0794103240966"/>
        <n v="64.06715771675109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x v="0"/>
    <x v="0"/>
  </r>
  <r>
    <n v="2"/>
    <x v="1"/>
    <x v="1"/>
  </r>
  <r>
    <n v="3"/>
    <x v="2"/>
    <x v="2"/>
  </r>
  <r>
    <n v="4"/>
    <x v="3"/>
    <x v="3"/>
  </r>
  <r>
    <n v="5"/>
    <x v="4"/>
    <x v="4"/>
  </r>
  <r>
    <n v="6"/>
    <x v="5"/>
    <x v="5"/>
  </r>
  <r>
    <n v="7"/>
    <x v="6"/>
    <x v="6"/>
  </r>
  <r>
    <n v="8"/>
    <x v="7"/>
    <x v="7"/>
  </r>
  <r>
    <n v="9"/>
    <x v="8"/>
    <x v="8"/>
  </r>
  <r>
    <n v="10"/>
    <x v="9"/>
    <x v="9"/>
  </r>
  <r>
    <n v="11"/>
    <x v="10"/>
    <x v="10"/>
  </r>
  <r>
    <n v="12"/>
    <x v="11"/>
    <x v="11"/>
  </r>
  <r>
    <n v="13"/>
    <x v="12"/>
    <x v="12"/>
  </r>
  <r>
    <n v="14"/>
    <x v="13"/>
    <x v="13"/>
  </r>
  <r>
    <n v="15"/>
    <x v="14"/>
    <x v="14"/>
  </r>
  <r>
    <n v="16"/>
    <x v="15"/>
    <x v="15"/>
  </r>
  <r>
    <n v="17"/>
    <x v="16"/>
    <x v="16"/>
  </r>
  <r>
    <n v="18"/>
    <x v="17"/>
    <x v="17"/>
  </r>
  <r>
    <n v="19"/>
    <x v="18"/>
    <x v="18"/>
  </r>
  <r>
    <n v="20"/>
    <x v="19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C3698-1F81-4580-9F75-0AF51E93A2F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V25" firstHeaderRow="1" firstDataRow="2" firstDataCol="1"/>
  <pivotFields count="3">
    <pivotField dataField="1" showAll="0"/>
    <pivotField axis="axisCol" showAll="0">
      <items count="21">
        <item x="1"/>
        <item x="3"/>
        <item x="2"/>
        <item x="0"/>
        <item x="5"/>
        <item x="4"/>
        <item x="6"/>
        <item x="7"/>
        <item x="8"/>
        <item x="13"/>
        <item x="12"/>
        <item x="9"/>
        <item x="10"/>
        <item x="14"/>
        <item x="11"/>
        <item x="15"/>
        <item x="16"/>
        <item x="17"/>
        <item x="18"/>
        <item x="19"/>
        <item t="default"/>
      </items>
    </pivotField>
    <pivotField axis="axisRow" showAll="0">
      <items count="21">
        <item x="0"/>
        <item x="1"/>
        <item x="2"/>
        <item x="3"/>
        <item x="6"/>
        <item x="7"/>
        <item x="8"/>
        <item x="9"/>
        <item x="4"/>
        <item x="5"/>
        <item x="10"/>
        <item x="11"/>
        <item x="13"/>
        <item x="12"/>
        <item x="15"/>
        <item x="14"/>
        <item x="18"/>
        <item x="17"/>
        <item x="16"/>
        <item x="19"/>
        <item t="default"/>
      </items>
    </pivotField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Sum of Model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3E67-A98E-4216-A1A5-CA4C177E08DD}">
  <dimension ref="A3:V25"/>
  <sheetViews>
    <sheetView workbookViewId="0">
      <selection activeCell="K11" sqref="K11"/>
    </sheetView>
  </sheetViews>
  <sheetFormatPr defaultRowHeight="15" x14ac:dyDescent="0.25"/>
  <cols>
    <col min="1" max="1" width="13.5703125" bestFit="1" customWidth="1"/>
    <col min="2" max="2" width="16.28515625" bestFit="1" customWidth="1"/>
    <col min="3" max="17" width="12" bestFit="1" customWidth="1"/>
    <col min="18" max="18" width="11" bestFit="1" customWidth="1"/>
    <col min="19" max="19" width="12" bestFit="1" customWidth="1"/>
    <col min="20" max="20" width="11" bestFit="1" customWidth="1"/>
    <col min="21" max="21" width="12" bestFit="1" customWidth="1"/>
    <col min="22" max="22" width="11.28515625" bestFit="1" customWidth="1"/>
    <col min="23" max="37" width="12" bestFit="1" customWidth="1"/>
    <col min="38" max="38" width="11" bestFit="1" customWidth="1"/>
    <col min="39" max="39" width="12" bestFit="1" customWidth="1"/>
    <col min="40" max="40" width="11" bestFit="1" customWidth="1"/>
    <col min="41" max="41" width="12" bestFit="1" customWidth="1"/>
    <col min="42" max="42" width="13.5703125" bestFit="1" customWidth="1"/>
    <col min="43" max="57" width="12" bestFit="1" customWidth="1"/>
    <col min="58" max="58" width="11" bestFit="1" customWidth="1"/>
    <col min="59" max="59" width="12" bestFit="1" customWidth="1"/>
    <col min="60" max="60" width="11" bestFit="1" customWidth="1"/>
    <col min="61" max="61" width="12" bestFit="1" customWidth="1"/>
    <col min="62" max="62" width="23" bestFit="1" customWidth="1"/>
    <col min="63" max="63" width="15.28515625" bestFit="1" customWidth="1"/>
    <col min="64" max="64" width="18.5703125" bestFit="1" customWidth="1"/>
    <col min="65" max="65" width="13.85546875" bestFit="1" customWidth="1"/>
    <col min="66" max="66" width="20.7109375" bestFit="1" customWidth="1"/>
    <col min="67" max="67" width="13.85546875" bestFit="1" customWidth="1"/>
    <col min="68" max="68" width="21.85546875" bestFit="1" customWidth="1"/>
    <col min="69" max="69" width="13.85546875" bestFit="1" customWidth="1"/>
    <col min="70" max="70" width="20.7109375" bestFit="1" customWidth="1"/>
    <col min="71" max="71" width="13.85546875" bestFit="1" customWidth="1"/>
    <col min="72" max="72" width="21.85546875" bestFit="1" customWidth="1"/>
    <col min="73" max="73" width="13.85546875" bestFit="1" customWidth="1"/>
    <col min="74" max="74" width="21.85546875" bestFit="1" customWidth="1"/>
    <col min="75" max="75" width="13.85546875" bestFit="1" customWidth="1"/>
    <col min="76" max="76" width="21.85546875" bestFit="1" customWidth="1"/>
    <col min="77" max="77" width="13.85546875" bestFit="1" customWidth="1"/>
    <col min="78" max="78" width="21.85546875" bestFit="1" customWidth="1"/>
    <col min="79" max="79" width="13.85546875" bestFit="1" customWidth="1"/>
    <col min="80" max="80" width="21.85546875" bestFit="1" customWidth="1"/>
    <col min="81" max="81" width="13.85546875" bestFit="1" customWidth="1"/>
    <col min="82" max="82" width="21.85546875" bestFit="1" customWidth="1"/>
    <col min="83" max="83" width="13.85546875" bestFit="1" customWidth="1"/>
    <col min="84" max="84" width="21.85546875" bestFit="1" customWidth="1"/>
    <col min="85" max="85" width="13.85546875" bestFit="1" customWidth="1"/>
    <col min="86" max="86" width="21.85546875" bestFit="1" customWidth="1"/>
    <col min="87" max="87" width="13.85546875" bestFit="1" customWidth="1"/>
    <col min="88" max="88" width="21.85546875" bestFit="1" customWidth="1"/>
    <col min="89" max="89" width="13.85546875" bestFit="1" customWidth="1"/>
    <col min="90" max="90" width="21.85546875" bestFit="1" customWidth="1"/>
    <col min="91" max="91" width="13.85546875" bestFit="1" customWidth="1"/>
    <col min="92" max="92" width="21.85546875" bestFit="1" customWidth="1"/>
    <col min="93" max="93" width="13.85546875" bestFit="1" customWidth="1"/>
    <col min="94" max="94" width="21.85546875" bestFit="1" customWidth="1"/>
    <col min="95" max="95" width="13.85546875" bestFit="1" customWidth="1"/>
    <col min="96" max="96" width="21.85546875" bestFit="1" customWidth="1"/>
    <col min="97" max="97" width="13.85546875" bestFit="1" customWidth="1"/>
    <col min="98" max="98" width="21.85546875" bestFit="1" customWidth="1"/>
    <col min="99" max="99" width="13.85546875" bestFit="1" customWidth="1"/>
    <col min="100" max="100" width="21.85546875" bestFit="1" customWidth="1"/>
    <col min="101" max="101" width="13.85546875" bestFit="1" customWidth="1"/>
    <col min="102" max="102" width="21.85546875" bestFit="1" customWidth="1"/>
    <col min="103" max="103" width="13.85546875" bestFit="1" customWidth="1"/>
    <col min="104" max="104" width="21.85546875" bestFit="1" customWidth="1"/>
    <col min="105" max="105" width="13.85546875" bestFit="1" customWidth="1"/>
    <col min="106" max="106" width="20.7109375" bestFit="1" customWidth="1"/>
    <col min="107" max="107" width="13.85546875" bestFit="1" customWidth="1"/>
    <col min="108" max="108" width="21.85546875" bestFit="1" customWidth="1"/>
    <col min="109" max="109" width="13.85546875" bestFit="1" customWidth="1"/>
    <col min="110" max="110" width="20.7109375" bestFit="1" customWidth="1"/>
    <col min="111" max="111" width="13.85546875" bestFit="1" customWidth="1"/>
    <col min="112" max="112" width="21.85546875" bestFit="1" customWidth="1"/>
    <col min="113" max="113" width="13.85546875" bestFit="1" customWidth="1"/>
    <col min="114" max="114" width="21.85546875" bestFit="1" customWidth="1"/>
    <col min="115" max="115" width="13.85546875" bestFit="1" customWidth="1"/>
    <col min="116" max="116" width="21.85546875" bestFit="1" customWidth="1"/>
    <col min="117" max="117" width="13.85546875" bestFit="1" customWidth="1"/>
    <col min="118" max="118" width="21.85546875" bestFit="1" customWidth="1"/>
    <col min="119" max="119" width="13.85546875" bestFit="1" customWidth="1"/>
    <col min="120" max="120" width="21.85546875" bestFit="1" customWidth="1"/>
    <col min="121" max="121" width="23" bestFit="1" customWidth="1"/>
    <col min="122" max="122" width="15.28515625" bestFit="1" customWidth="1"/>
    <col min="123" max="123" width="18.5703125" bestFit="1" customWidth="1"/>
  </cols>
  <sheetData>
    <row r="3" spans="1:22" x14ac:dyDescent="0.25">
      <c r="A3" s="4" t="s">
        <v>52</v>
      </c>
      <c r="B3" s="4" t="s">
        <v>53</v>
      </c>
    </row>
    <row r="4" spans="1:22" x14ac:dyDescent="0.25">
      <c r="A4" s="4" t="s">
        <v>54</v>
      </c>
      <c r="B4">
        <v>0.920285233698375</v>
      </c>
      <c r="C4">
        <v>0.92109260566991802</v>
      </c>
      <c r="D4">
        <v>0.92241534747603104</v>
      </c>
      <c r="E4">
        <v>0.92492344414460803</v>
      </c>
      <c r="F4">
        <v>0.93560096318810604</v>
      </c>
      <c r="G4">
        <v>0.93712963782858005</v>
      </c>
      <c r="H4">
        <v>0.94091820538420101</v>
      </c>
      <c r="I4">
        <v>0.94169969162927303</v>
      </c>
      <c r="J4">
        <v>0.94300546898693605</v>
      </c>
      <c r="K4">
        <v>0.94317723310509904</v>
      </c>
      <c r="L4">
        <v>0.94591746747865701</v>
      </c>
      <c r="M4">
        <v>0.94766120837935997</v>
      </c>
      <c r="N4">
        <v>0.94903571241459606</v>
      </c>
      <c r="O4">
        <v>0.95048725194382699</v>
      </c>
      <c r="P4">
        <v>0.95201651690873601</v>
      </c>
      <c r="Q4">
        <v>0.95276375511276301</v>
      </c>
      <c r="R4">
        <v>0.95929192982223099</v>
      </c>
      <c r="S4">
        <v>0.959756114838763</v>
      </c>
      <c r="T4">
        <v>0.95991077984071504</v>
      </c>
      <c r="U4">
        <v>0.96591518919529096</v>
      </c>
      <c r="V4" t="s">
        <v>55</v>
      </c>
    </row>
    <row r="5" spans="1:22" x14ac:dyDescent="0.25">
      <c r="A5" s="5">
        <v>9.6450139045715293</v>
      </c>
      <c r="B5" s="3"/>
      <c r="C5" s="3"/>
      <c r="D5" s="3"/>
      <c r="E5" s="3">
        <v>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>
        <v>1</v>
      </c>
    </row>
    <row r="6" spans="1:22" x14ac:dyDescent="0.25">
      <c r="A6" s="5">
        <v>9.9203055953979398</v>
      </c>
      <c r="B6" s="3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>
        <v>2</v>
      </c>
    </row>
    <row r="7" spans="1:22" x14ac:dyDescent="0.25">
      <c r="A7" s="5">
        <v>11.284923982620199</v>
      </c>
      <c r="B7" s="3"/>
      <c r="C7" s="3"/>
      <c r="D7" s="3">
        <v>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>
        <v>3</v>
      </c>
    </row>
    <row r="8" spans="1:22" x14ac:dyDescent="0.25">
      <c r="A8" s="5">
        <v>11.6189329051971</v>
      </c>
      <c r="B8" s="3"/>
      <c r="C8" s="3">
        <v>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>
        <v>4</v>
      </c>
    </row>
    <row r="9" spans="1:22" x14ac:dyDescent="0.25">
      <c r="A9" s="5">
        <v>13.216869945526099</v>
      </c>
      <c r="B9" s="3"/>
      <c r="C9" s="3"/>
      <c r="D9" s="3"/>
      <c r="E9" s="3"/>
      <c r="F9" s="3"/>
      <c r="G9" s="3"/>
      <c r="H9" s="3">
        <v>7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>
        <v>7</v>
      </c>
    </row>
    <row r="10" spans="1:22" x14ac:dyDescent="0.25">
      <c r="A10" s="5">
        <v>13.2849702072143</v>
      </c>
      <c r="B10" s="3"/>
      <c r="C10" s="3"/>
      <c r="D10" s="3"/>
      <c r="E10" s="3"/>
      <c r="F10" s="3"/>
      <c r="G10" s="3"/>
      <c r="H10" s="3"/>
      <c r="I10" s="3">
        <v>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>
        <v>8</v>
      </c>
    </row>
    <row r="11" spans="1:22" x14ac:dyDescent="0.25">
      <c r="A11" s="5">
        <v>14.6537868595123</v>
      </c>
      <c r="B11" s="3"/>
      <c r="C11" s="3"/>
      <c r="D11" s="3"/>
      <c r="E11" s="3"/>
      <c r="F11" s="3"/>
      <c r="G11" s="3"/>
      <c r="H11" s="3"/>
      <c r="I11" s="3"/>
      <c r="J11" s="3">
        <v>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>
        <v>9</v>
      </c>
    </row>
    <row r="12" spans="1:22" x14ac:dyDescent="0.25">
      <c r="A12" s="5">
        <v>14.7624780082702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>
        <v>10</v>
      </c>
      <c r="N12" s="3"/>
      <c r="O12" s="3"/>
      <c r="P12" s="3"/>
      <c r="Q12" s="3"/>
      <c r="R12" s="3"/>
      <c r="S12" s="3"/>
      <c r="T12" s="3"/>
      <c r="U12" s="3"/>
      <c r="V12" s="3">
        <v>10</v>
      </c>
    </row>
    <row r="13" spans="1:22" x14ac:dyDescent="0.25">
      <c r="A13" s="5">
        <v>14.9143939876556</v>
      </c>
      <c r="B13" s="3"/>
      <c r="C13" s="3"/>
      <c r="D13" s="3"/>
      <c r="E13" s="3"/>
      <c r="F13" s="3"/>
      <c r="G13" s="3">
        <v>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5</v>
      </c>
    </row>
    <row r="14" spans="1:22" x14ac:dyDescent="0.25">
      <c r="A14" s="5">
        <v>14.9516379547119</v>
      </c>
      <c r="B14" s="3"/>
      <c r="C14" s="3"/>
      <c r="D14" s="3"/>
      <c r="E14" s="3"/>
      <c r="F14" s="3">
        <v>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6</v>
      </c>
    </row>
    <row r="15" spans="1:22" x14ac:dyDescent="0.25">
      <c r="A15" s="5">
        <v>18.232567691802899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v>11</v>
      </c>
      <c r="O15" s="3"/>
      <c r="P15" s="3"/>
      <c r="Q15" s="3"/>
      <c r="R15" s="3"/>
      <c r="S15" s="3"/>
      <c r="T15" s="3"/>
      <c r="U15" s="3"/>
      <c r="V15" s="3">
        <v>11</v>
      </c>
    </row>
    <row r="16" spans="1:22" x14ac:dyDescent="0.25">
      <c r="A16" s="5">
        <v>18.385205221176101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v>12</v>
      </c>
      <c r="Q16" s="3"/>
      <c r="R16" s="3"/>
      <c r="S16" s="3"/>
      <c r="T16" s="3"/>
      <c r="U16" s="3"/>
      <c r="V16" s="3">
        <v>12</v>
      </c>
    </row>
    <row r="17" spans="1:22" x14ac:dyDescent="0.25">
      <c r="A17" s="5">
        <v>21.370075674056999</v>
      </c>
      <c r="B17" s="3"/>
      <c r="C17" s="3"/>
      <c r="D17" s="3"/>
      <c r="E17" s="3"/>
      <c r="F17" s="3"/>
      <c r="G17" s="3"/>
      <c r="H17" s="3"/>
      <c r="I17" s="3"/>
      <c r="J17" s="3"/>
      <c r="K17" s="3">
        <v>14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>
        <v>14</v>
      </c>
    </row>
    <row r="18" spans="1:22" x14ac:dyDescent="0.25">
      <c r="A18" s="5">
        <v>21.400384321212702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13</v>
      </c>
      <c r="M18" s="3"/>
      <c r="N18" s="3"/>
      <c r="O18" s="3"/>
      <c r="P18" s="3"/>
      <c r="Q18" s="3"/>
      <c r="R18" s="3"/>
      <c r="S18" s="3"/>
      <c r="T18" s="3"/>
      <c r="U18" s="3"/>
      <c r="V18" s="3">
        <v>13</v>
      </c>
    </row>
    <row r="19" spans="1:22" x14ac:dyDescent="0.25">
      <c r="A19" s="5">
        <v>22.810675535202002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>
        <v>16</v>
      </c>
      <c r="R19" s="3"/>
      <c r="S19" s="3"/>
      <c r="T19" s="3"/>
      <c r="U19" s="3"/>
      <c r="V19" s="3">
        <v>16</v>
      </c>
    </row>
    <row r="20" spans="1:22" x14ac:dyDescent="0.25">
      <c r="A20" s="5">
        <v>23.027383766174299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v>15</v>
      </c>
      <c r="P20" s="3"/>
      <c r="Q20" s="3"/>
      <c r="R20" s="3"/>
      <c r="S20" s="3"/>
      <c r="T20" s="3"/>
      <c r="U20" s="3"/>
      <c r="V20" s="3">
        <v>15</v>
      </c>
    </row>
    <row r="21" spans="1:22" x14ac:dyDescent="0.25">
      <c r="A21" s="5">
        <v>24.0794103240966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>
        <v>19</v>
      </c>
      <c r="U21" s="3"/>
      <c r="V21" s="3">
        <v>19</v>
      </c>
    </row>
    <row r="22" spans="1:22" x14ac:dyDescent="0.25">
      <c r="A22" s="5">
        <v>24.533869113922101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>
        <v>18</v>
      </c>
      <c r="T22" s="3"/>
      <c r="U22" s="3"/>
      <c r="V22" s="3">
        <v>18</v>
      </c>
    </row>
    <row r="23" spans="1:22" x14ac:dyDescent="0.25">
      <c r="A23" s="5">
        <v>27.008988389968799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v>17</v>
      </c>
      <c r="S23" s="3"/>
      <c r="T23" s="3"/>
      <c r="U23" s="3"/>
      <c r="V23" s="3">
        <v>17</v>
      </c>
    </row>
    <row r="24" spans="1:22" x14ac:dyDescent="0.25">
      <c r="A24" s="5">
        <v>64.067157716751097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20</v>
      </c>
      <c r="V24" s="3">
        <v>20</v>
      </c>
    </row>
    <row r="25" spans="1:22" x14ac:dyDescent="0.25">
      <c r="A25" s="5" t="s">
        <v>55</v>
      </c>
      <c r="B25" s="3">
        <v>2</v>
      </c>
      <c r="C25" s="3">
        <v>4</v>
      </c>
      <c r="D25" s="3">
        <v>3</v>
      </c>
      <c r="E25" s="3">
        <v>1</v>
      </c>
      <c r="F25" s="3">
        <v>6</v>
      </c>
      <c r="G25" s="3">
        <v>5</v>
      </c>
      <c r="H25" s="3">
        <v>7</v>
      </c>
      <c r="I25" s="3">
        <v>8</v>
      </c>
      <c r="J25" s="3">
        <v>9</v>
      </c>
      <c r="K25" s="3">
        <v>14</v>
      </c>
      <c r="L25" s="3">
        <v>13</v>
      </c>
      <c r="M25" s="3">
        <v>10</v>
      </c>
      <c r="N25" s="3">
        <v>11</v>
      </c>
      <c r="O25" s="3">
        <v>15</v>
      </c>
      <c r="P25" s="3">
        <v>12</v>
      </c>
      <c r="Q25" s="3">
        <v>16</v>
      </c>
      <c r="R25" s="3">
        <v>17</v>
      </c>
      <c r="S25" s="3">
        <v>18</v>
      </c>
      <c r="T25" s="3">
        <v>19</v>
      </c>
      <c r="U25" s="3">
        <v>20</v>
      </c>
      <c r="V25" s="3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L84"/>
  <sheetViews>
    <sheetView tabSelected="1" topLeftCell="O25" zoomScale="160" zoomScaleNormal="160" workbookViewId="0">
      <selection activeCell="AB41" sqref="AB41"/>
    </sheetView>
  </sheetViews>
  <sheetFormatPr defaultRowHeight="15" x14ac:dyDescent="0.25"/>
  <cols>
    <col min="1" max="1" width="13.5703125" bestFit="1" customWidth="1"/>
    <col min="2" max="2" width="11.140625" bestFit="1" customWidth="1"/>
    <col min="3" max="8" width="12" bestFit="1" customWidth="1"/>
    <col min="14" max="14" width="12" bestFit="1" customWidth="1"/>
  </cols>
  <sheetData>
    <row r="4" spans="1:38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M4" t="s">
        <v>0</v>
      </c>
      <c r="N4">
        <v>1</v>
      </c>
      <c r="O4">
        <v>2</v>
      </c>
      <c r="P4">
        <v>3</v>
      </c>
      <c r="Q4">
        <v>4</v>
      </c>
      <c r="R4">
        <v>5</v>
      </c>
      <c r="S4">
        <v>6</v>
      </c>
      <c r="T4">
        <v>7</v>
      </c>
      <c r="U4">
        <v>8</v>
      </c>
      <c r="V4">
        <v>9</v>
      </c>
      <c r="W4">
        <v>10</v>
      </c>
      <c r="X4">
        <v>11</v>
      </c>
      <c r="Y4">
        <v>12</v>
      </c>
      <c r="Z4">
        <v>13</v>
      </c>
      <c r="AA4">
        <v>14</v>
      </c>
      <c r="AB4">
        <v>15</v>
      </c>
      <c r="AC4">
        <v>16</v>
      </c>
      <c r="AD4">
        <v>17</v>
      </c>
      <c r="AE4">
        <v>18</v>
      </c>
      <c r="AF4">
        <v>19</v>
      </c>
      <c r="AG4">
        <v>20</v>
      </c>
      <c r="AI4" t="s">
        <v>0</v>
      </c>
      <c r="AJ4" t="s">
        <v>9</v>
      </c>
      <c r="AK4" t="s">
        <v>12</v>
      </c>
      <c r="AL4" t="s">
        <v>56</v>
      </c>
    </row>
    <row r="5" spans="1:38" x14ac:dyDescent="0.25">
      <c r="A5" t="s">
        <v>8</v>
      </c>
      <c r="B5" t="s">
        <v>9</v>
      </c>
      <c r="C5">
        <v>0.92350640538907103</v>
      </c>
      <c r="D5">
        <v>0.92793008455659598</v>
      </c>
      <c r="E5">
        <v>0.92122990222013601</v>
      </c>
      <c r="F5">
        <v>0.92535254359730401</v>
      </c>
      <c r="G5">
        <v>0.92659828495993501</v>
      </c>
      <c r="H5">
        <v>0.92492344414460803</v>
      </c>
      <c r="M5" t="s">
        <v>9</v>
      </c>
      <c r="N5">
        <v>0.92492344414460803</v>
      </c>
      <c r="O5">
        <v>0.920285233698375</v>
      </c>
      <c r="P5">
        <v>0.92241534747603104</v>
      </c>
      <c r="Q5">
        <v>0.92109260566991802</v>
      </c>
      <c r="R5">
        <v>0.93712963782858005</v>
      </c>
      <c r="S5">
        <v>0.93560096318810604</v>
      </c>
      <c r="T5">
        <v>0.94091820538420101</v>
      </c>
      <c r="U5">
        <v>0.94169969162927303</v>
      </c>
      <c r="V5">
        <v>0.94300546898693605</v>
      </c>
      <c r="W5">
        <v>0.94766120837935997</v>
      </c>
      <c r="X5">
        <v>0.94903571241459606</v>
      </c>
      <c r="Y5">
        <v>0.95201651690873601</v>
      </c>
      <c r="Z5">
        <v>0.94591746747865701</v>
      </c>
      <c r="AA5">
        <v>0.94317723310509904</v>
      </c>
      <c r="AB5">
        <v>0.95048725194382699</v>
      </c>
      <c r="AC5">
        <v>0.95276375511276301</v>
      </c>
      <c r="AD5">
        <v>0.95929192982223099</v>
      </c>
      <c r="AE5">
        <v>0.959756114838763</v>
      </c>
      <c r="AF5">
        <v>0.95991077984071504</v>
      </c>
      <c r="AG5">
        <v>0.96591518919529096</v>
      </c>
      <c r="AI5">
        <v>1</v>
      </c>
      <c r="AJ5">
        <v>0.92492344414460803</v>
      </c>
      <c r="AK5">
        <v>9.6450139045715293</v>
      </c>
      <c r="AL5">
        <f>LOG(AK5)</f>
        <v>0.98430285807366547</v>
      </c>
    </row>
    <row r="6" spans="1:38" x14ac:dyDescent="0.25">
      <c r="A6" s="2" t="s">
        <v>32</v>
      </c>
      <c r="B6" t="s">
        <v>10</v>
      </c>
      <c r="C6">
        <v>0.206640923788767</v>
      </c>
      <c r="D6">
        <v>0.198711325001935</v>
      </c>
      <c r="E6">
        <v>0.212170524512651</v>
      </c>
      <c r="F6">
        <v>0.204185662055798</v>
      </c>
      <c r="G6">
        <v>0.20023628228940099</v>
      </c>
      <c r="H6">
        <v>0.20438894352971099</v>
      </c>
      <c r="M6" t="s">
        <v>12</v>
      </c>
      <c r="N6">
        <v>9.6450139045715293</v>
      </c>
      <c r="O6">
        <v>9.9203055953979398</v>
      </c>
      <c r="P6">
        <v>11.284923982620199</v>
      </c>
      <c r="Q6">
        <v>11.6189329051971</v>
      </c>
      <c r="R6">
        <v>14.9143939876556</v>
      </c>
      <c r="S6">
        <v>14.9516379547119</v>
      </c>
      <c r="T6">
        <v>13.216869945526099</v>
      </c>
      <c r="U6">
        <v>13.2849702072143</v>
      </c>
      <c r="V6">
        <v>14.6537868595123</v>
      </c>
      <c r="W6">
        <v>14.7624780082702</v>
      </c>
      <c r="X6">
        <v>18.232567691802899</v>
      </c>
      <c r="Y6">
        <v>18.385205221176101</v>
      </c>
      <c r="Z6">
        <v>21.400384321212702</v>
      </c>
      <c r="AA6">
        <v>21.370075674056999</v>
      </c>
      <c r="AB6">
        <v>23.027383766174299</v>
      </c>
      <c r="AC6">
        <v>22.810675535202002</v>
      </c>
      <c r="AD6">
        <v>27.008988389968799</v>
      </c>
      <c r="AE6">
        <v>24.533869113922101</v>
      </c>
      <c r="AF6">
        <v>24.0794103240966</v>
      </c>
      <c r="AG6">
        <v>64.067157716751097</v>
      </c>
      <c r="AI6">
        <v>2</v>
      </c>
      <c r="AJ6">
        <v>0.920285233698375</v>
      </c>
      <c r="AK6">
        <v>9.9203055953979398</v>
      </c>
      <c r="AL6">
        <f t="shared" ref="AL6:AL24" si="0">LOG(AK6)</f>
        <v>0.99652505081857401</v>
      </c>
    </row>
    <row r="7" spans="1:38" x14ac:dyDescent="0.25">
      <c r="A7" s="1"/>
      <c r="B7" t="s">
        <v>11</v>
      </c>
      <c r="C7">
        <v>0.963895465245451</v>
      </c>
      <c r="D7">
        <v>0.96398586276089204</v>
      </c>
      <c r="E7">
        <v>0.96112103625387701</v>
      </c>
      <c r="F7">
        <v>0.96389667454967398</v>
      </c>
      <c r="G7">
        <v>0.96358577301228698</v>
      </c>
      <c r="H7">
        <v>0.96329696236443596</v>
      </c>
      <c r="AI7">
        <v>3</v>
      </c>
      <c r="AJ7">
        <v>0.92241534747603104</v>
      </c>
      <c r="AK7">
        <v>11.284923982620199</v>
      </c>
      <c r="AL7">
        <f t="shared" si="0"/>
        <v>1.0524986379339607</v>
      </c>
    </row>
    <row r="8" spans="1:38" x14ac:dyDescent="0.25">
      <c r="A8" s="1"/>
      <c r="B8" t="s">
        <v>12</v>
      </c>
      <c r="C8">
        <v>9.8201183795928895</v>
      </c>
      <c r="D8">
        <v>9.8517275333404495</v>
      </c>
      <c r="E8">
        <v>9.4635531425475996</v>
      </c>
      <c r="F8">
        <v>9.3739176750183102</v>
      </c>
      <c r="G8">
        <v>9.7157527923583906</v>
      </c>
      <c r="H8">
        <v>9.6450139045715293</v>
      </c>
      <c r="AI8">
        <v>4</v>
      </c>
      <c r="AJ8">
        <v>0.92109260566991802</v>
      </c>
      <c r="AK8">
        <v>11.6189329051971</v>
      </c>
      <c r="AL8">
        <f t="shared" si="0"/>
        <v>1.0651662438318492</v>
      </c>
    </row>
    <row r="9" spans="1:38" x14ac:dyDescent="0.25">
      <c r="A9" t="s">
        <v>13</v>
      </c>
      <c r="B9" t="s">
        <v>9</v>
      </c>
      <c r="C9">
        <v>0.91869631275978803</v>
      </c>
      <c r="D9">
        <v>0.91964108089879804</v>
      </c>
      <c r="E9">
        <v>0.92256140665457897</v>
      </c>
      <c r="F9">
        <v>0.92161669385848499</v>
      </c>
      <c r="G9">
        <v>0.918910674320222</v>
      </c>
      <c r="H9">
        <v>0.920285233698375</v>
      </c>
      <c r="AI9">
        <v>5</v>
      </c>
      <c r="AJ9">
        <v>0.93712963782858005</v>
      </c>
      <c r="AK9">
        <v>14.9143939876556</v>
      </c>
      <c r="AL9">
        <f t="shared" si="0"/>
        <v>1.1736056114919746</v>
      </c>
    </row>
    <row r="10" spans="1:38" x14ac:dyDescent="0.25">
      <c r="A10" s="2" t="s">
        <v>33</v>
      </c>
      <c r="B10" t="s">
        <v>10</v>
      </c>
      <c r="C10">
        <v>0.216962307180392</v>
      </c>
      <c r="D10">
        <v>0.209170614364033</v>
      </c>
      <c r="E10">
        <v>0.20441733139158599</v>
      </c>
      <c r="F10">
        <v>0.20761230469474101</v>
      </c>
      <c r="G10">
        <v>0.21517555625963899</v>
      </c>
      <c r="H10">
        <v>0.21066762277807799</v>
      </c>
      <c r="AI10">
        <v>6</v>
      </c>
      <c r="AJ10">
        <v>0.93560096318810604</v>
      </c>
      <c r="AK10">
        <v>14.9516379547119</v>
      </c>
      <c r="AL10">
        <f t="shared" si="0"/>
        <v>1.1746887723077424</v>
      </c>
    </row>
    <row r="11" spans="1:38" x14ac:dyDescent="0.25">
      <c r="A11" s="1"/>
      <c r="B11" t="s">
        <v>11</v>
      </c>
      <c r="C11">
        <v>0.96089447206399603</v>
      </c>
      <c r="D11">
        <v>0.96306614324683204</v>
      </c>
      <c r="E11">
        <v>0.96449720043485498</v>
      </c>
      <c r="F11">
        <v>0.96370793692852796</v>
      </c>
      <c r="G11">
        <v>0.960262031411248</v>
      </c>
      <c r="H11">
        <v>0.96248555681709203</v>
      </c>
      <c r="AI11">
        <v>7</v>
      </c>
      <c r="AJ11">
        <v>0.94091820538420101</v>
      </c>
      <c r="AK11">
        <v>13.216869945526099</v>
      </c>
      <c r="AL11">
        <f t="shared" si="0"/>
        <v>1.1211286165461691</v>
      </c>
    </row>
    <row r="12" spans="1:38" x14ac:dyDescent="0.25">
      <c r="A12" s="1"/>
      <c r="B12" t="s">
        <v>12</v>
      </c>
      <c r="C12">
        <v>9.9092725276947</v>
      </c>
      <c r="D12">
        <v>9.9252686500549299</v>
      </c>
      <c r="E12">
        <v>9.9106650352477992</v>
      </c>
      <c r="F12">
        <v>9.9081978321075397</v>
      </c>
      <c r="G12">
        <v>9.9481239318847603</v>
      </c>
      <c r="H12">
        <v>9.9203055953979398</v>
      </c>
      <c r="M12" t="s">
        <v>10</v>
      </c>
      <c r="N12">
        <v>0.20438894352971099</v>
      </c>
      <c r="O12">
        <v>0.21066762277807799</v>
      </c>
      <c r="P12">
        <v>0.19933658977364399</v>
      </c>
      <c r="Q12">
        <v>0.204871905795068</v>
      </c>
      <c r="R12">
        <v>0.168261803203413</v>
      </c>
      <c r="S12">
        <v>0.16924066351440401</v>
      </c>
      <c r="T12">
        <v>0.167200078126443</v>
      </c>
      <c r="U12">
        <v>0.16305628711781001</v>
      </c>
      <c r="V12">
        <v>0.15296908918440799</v>
      </c>
      <c r="W12">
        <v>0.14208050477051001</v>
      </c>
      <c r="X12">
        <v>0.13960269005255599</v>
      </c>
      <c r="Y12">
        <v>0.131050061343917</v>
      </c>
      <c r="Z12">
        <v>0.15492807220333499</v>
      </c>
      <c r="AA12">
        <v>0.15993850863328399</v>
      </c>
      <c r="AB12">
        <v>0.13862143224825799</v>
      </c>
      <c r="AC12">
        <v>0.13539992042139901</v>
      </c>
      <c r="AD12">
        <v>0.11363960660540801</v>
      </c>
      <c r="AE12">
        <v>0.113338504490374</v>
      </c>
      <c r="AF12">
        <v>0.114176749566616</v>
      </c>
      <c r="AG12">
        <v>9.7210175940075805E-2</v>
      </c>
      <c r="AI12">
        <v>8</v>
      </c>
      <c r="AJ12">
        <v>0.94169969162927303</v>
      </c>
      <c r="AK12">
        <v>13.2849702072143</v>
      </c>
      <c r="AL12">
        <f t="shared" si="0"/>
        <v>1.123360584801476</v>
      </c>
    </row>
    <row r="13" spans="1:38" x14ac:dyDescent="0.25">
      <c r="A13" t="s">
        <v>14</v>
      </c>
      <c r="B13" t="s">
        <v>9</v>
      </c>
      <c r="C13">
        <v>0.92028506951439104</v>
      </c>
      <c r="D13">
        <v>0.92243241154172795</v>
      </c>
      <c r="E13">
        <v>0.92269015272430999</v>
      </c>
      <c r="F13">
        <v>0.92316271665829097</v>
      </c>
      <c r="G13">
        <v>0.92350638694143306</v>
      </c>
      <c r="H13">
        <v>0.92241534747603104</v>
      </c>
      <c r="M13" t="s">
        <v>11</v>
      </c>
      <c r="N13">
        <v>0.96329696236443596</v>
      </c>
      <c r="O13">
        <v>0.96248555681709203</v>
      </c>
      <c r="P13">
        <v>0.968150546548602</v>
      </c>
      <c r="Q13">
        <v>0.96472068014080903</v>
      </c>
      <c r="R13">
        <v>0.97619413938456501</v>
      </c>
      <c r="S13">
        <v>0.97634973745682396</v>
      </c>
      <c r="T13">
        <v>0.97367401116956098</v>
      </c>
      <c r="U13">
        <v>0.97531562252264503</v>
      </c>
      <c r="V13">
        <v>0.980234764506974</v>
      </c>
      <c r="W13">
        <v>0.98240393118669</v>
      </c>
      <c r="X13">
        <v>0.98389584124112806</v>
      </c>
      <c r="Y13">
        <v>0.98582009653975999</v>
      </c>
      <c r="Z13">
        <v>0.97653241852421102</v>
      </c>
      <c r="AA13">
        <v>0.97630431737448797</v>
      </c>
      <c r="AB13">
        <v>0.98310679517051902</v>
      </c>
      <c r="AC13">
        <v>0.98248777156885003</v>
      </c>
      <c r="AD13">
        <v>0.98942358997437596</v>
      </c>
      <c r="AE13">
        <v>0.98902551519526305</v>
      </c>
      <c r="AF13">
        <v>0.98888907322616904</v>
      </c>
      <c r="AG13">
        <v>0.99171185636575498</v>
      </c>
      <c r="AI13">
        <v>9</v>
      </c>
      <c r="AJ13">
        <v>0.94300546898693605</v>
      </c>
      <c r="AK13">
        <v>14.6537868595123</v>
      </c>
      <c r="AL13">
        <f t="shared" si="0"/>
        <v>1.165949870401372</v>
      </c>
    </row>
    <row r="14" spans="1:38" x14ac:dyDescent="0.25">
      <c r="A14" s="2" t="s">
        <v>34</v>
      </c>
      <c r="B14" t="s">
        <v>10</v>
      </c>
      <c r="C14">
        <v>0.203621084604273</v>
      </c>
      <c r="D14">
        <v>0.19536011057505201</v>
      </c>
      <c r="E14">
        <v>0.200436823839092</v>
      </c>
      <c r="F14">
        <v>0.199824614880933</v>
      </c>
      <c r="G14">
        <v>0.19744031496887099</v>
      </c>
      <c r="H14">
        <v>0.19933658977364399</v>
      </c>
      <c r="AI14">
        <v>10</v>
      </c>
      <c r="AJ14">
        <v>0.94766120837935997</v>
      </c>
      <c r="AK14">
        <v>14.7624780082702</v>
      </c>
      <c r="AL14">
        <f t="shared" si="0"/>
        <v>1.1691592636516126</v>
      </c>
    </row>
    <row r="15" spans="1:38" x14ac:dyDescent="0.25">
      <c r="A15" s="1"/>
      <c r="B15" t="s">
        <v>11</v>
      </c>
      <c r="C15">
        <v>0.96607324893577895</v>
      </c>
      <c r="D15">
        <v>0.96969058634029504</v>
      </c>
      <c r="E15">
        <v>0.96793037991165398</v>
      </c>
      <c r="F15">
        <v>0.96793584131433896</v>
      </c>
      <c r="G15">
        <v>0.96912267624094495</v>
      </c>
      <c r="H15">
        <v>0.968150546548602</v>
      </c>
      <c r="AI15">
        <v>11</v>
      </c>
      <c r="AJ15">
        <v>0.94903571241459606</v>
      </c>
      <c r="AK15">
        <v>18.232567691802899</v>
      </c>
      <c r="AL15">
        <f t="shared" si="0"/>
        <v>1.2608478346371692</v>
      </c>
    </row>
    <row r="16" spans="1:38" x14ac:dyDescent="0.25">
      <c r="A16" s="1"/>
      <c r="B16" t="s">
        <v>12</v>
      </c>
      <c r="C16">
        <v>11.268337249755801</v>
      </c>
      <c r="D16">
        <v>11.2740154266357</v>
      </c>
      <c r="E16">
        <v>10.9675497055053</v>
      </c>
      <c r="F16">
        <v>11.4077813148498</v>
      </c>
      <c r="G16">
        <v>11.506936216354299</v>
      </c>
      <c r="H16">
        <v>11.284923982620199</v>
      </c>
      <c r="AI16">
        <v>12</v>
      </c>
      <c r="AJ16">
        <v>0.95201651690873601</v>
      </c>
      <c r="AK16">
        <v>18.385205221176101</v>
      </c>
      <c r="AL16">
        <f t="shared" si="0"/>
        <v>1.2644684819572294</v>
      </c>
    </row>
    <row r="17" spans="1:38" x14ac:dyDescent="0.25">
      <c r="A17" t="s">
        <v>15</v>
      </c>
      <c r="B17" t="s">
        <v>9</v>
      </c>
      <c r="C17">
        <v>0.923420577750524</v>
      </c>
      <c r="D17">
        <v>0.91981266238533799</v>
      </c>
      <c r="E17">
        <v>0.92097250231886796</v>
      </c>
      <c r="F17">
        <v>0.92329145350420205</v>
      </c>
      <c r="G17">
        <v>0.91796583239065799</v>
      </c>
      <c r="H17">
        <v>0.92109260566991802</v>
      </c>
      <c r="AI17">
        <v>13</v>
      </c>
      <c r="AJ17">
        <v>0.94591746747865701</v>
      </c>
      <c r="AK17">
        <v>21.400384321212702</v>
      </c>
      <c r="AL17">
        <f t="shared" si="0"/>
        <v>1.330421572745603</v>
      </c>
    </row>
    <row r="18" spans="1:38" x14ac:dyDescent="0.25">
      <c r="A18" s="2" t="s">
        <v>35</v>
      </c>
      <c r="B18" t="s">
        <v>10</v>
      </c>
      <c r="C18">
        <v>0.202343131138462</v>
      </c>
      <c r="D18">
        <v>0.20826198369110599</v>
      </c>
      <c r="E18">
        <v>0.20489863815670201</v>
      </c>
      <c r="F18">
        <v>0.19853948590562701</v>
      </c>
      <c r="G18">
        <v>0.21031629008344299</v>
      </c>
      <c r="H18">
        <v>0.204871905795068</v>
      </c>
      <c r="AI18">
        <v>14</v>
      </c>
      <c r="AJ18">
        <v>0.94317723310509904</v>
      </c>
      <c r="AK18">
        <v>21.370075674056999</v>
      </c>
      <c r="AL18">
        <f t="shared" si="0"/>
        <v>1.3298060600567783</v>
      </c>
    </row>
    <row r="19" spans="1:38" x14ac:dyDescent="0.25">
      <c r="A19" s="1"/>
      <c r="B19" t="s">
        <v>11</v>
      </c>
      <c r="C19">
        <v>0.965214323173333</v>
      </c>
      <c r="D19">
        <v>0.96390138903441003</v>
      </c>
      <c r="E19">
        <v>0.96407144914002296</v>
      </c>
      <c r="F19">
        <v>0.96743968594738505</v>
      </c>
      <c r="G19">
        <v>0.96297655340889499</v>
      </c>
      <c r="H19">
        <v>0.96472068014080903</v>
      </c>
      <c r="AI19">
        <v>15</v>
      </c>
      <c r="AJ19">
        <v>0.95048725194382699</v>
      </c>
      <c r="AK19">
        <v>23.027383766174299</v>
      </c>
      <c r="AL19">
        <f t="shared" si="0"/>
        <v>1.3622445988215277</v>
      </c>
    </row>
    <row r="20" spans="1:38" x14ac:dyDescent="0.25">
      <c r="A20" s="1"/>
      <c r="B20" t="s">
        <v>12</v>
      </c>
      <c r="C20">
        <v>11.6183075904846</v>
      </c>
      <c r="D20">
        <v>11.576217317581101</v>
      </c>
      <c r="E20">
        <v>11.713569974899199</v>
      </c>
      <c r="F20">
        <v>11.6375943660736</v>
      </c>
      <c r="G20">
        <v>11.548975276947001</v>
      </c>
      <c r="H20">
        <v>11.6189329051971</v>
      </c>
      <c r="AI20">
        <v>16</v>
      </c>
      <c r="AJ20">
        <v>0.95276375511276301</v>
      </c>
      <c r="AK20">
        <v>22.810675535202002</v>
      </c>
      <c r="AL20">
        <f t="shared" si="0"/>
        <v>1.3581381470419398</v>
      </c>
    </row>
    <row r="21" spans="1:38" x14ac:dyDescent="0.25">
      <c r="A21" t="s">
        <v>16</v>
      </c>
      <c r="B21" t="s">
        <v>9</v>
      </c>
      <c r="C21">
        <v>0.93720675633694805</v>
      </c>
      <c r="D21">
        <v>0.93497349443287103</v>
      </c>
      <c r="E21">
        <v>0.93759377857077997</v>
      </c>
      <c r="F21">
        <v>0.93540322295004297</v>
      </c>
      <c r="G21">
        <v>0.94047093685225702</v>
      </c>
      <c r="H21">
        <v>0.93712963782858005</v>
      </c>
      <c r="AI21">
        <v>17</v>
      </c>
      <c r="AJ21">
        <v>0.95929192982223099</v>
      </c>
      <c r="AK21">
        <v>27.008988389968799</v>
      </c>
      <c r="AL21">
        <f t="shared" si="0"/>
        <v>1.4315083181792365</v>
      </c>
    </row>
    <row r="22" spans="1:38" x14ac:dyDescent="0.25">
      <c r="A22" s="2" t="s">
        <v>36</v>
      </c>
      <c r="B22" t="s">
        <v>10</v>
      </c>
      <c r="C22">
        <v>0.16608217104085601</v>
      </c>
      <c r="D22">
        <v>0.17464335267254699</v>
      </c>
      <c r="E22">
        <v>0.16685477466932599</v>
      </c>
      <c r="F22">
        <v>0.176386251559463</v>
      </c>
      <c r="G22">
        <v>0.15734246607487401</v>
      </c>
      <c r="H22">
        <v>0.168261803203413</v>
      </c>
      <c r="AI22">
        <v>18</v>
      </c>
      <c r="AJ22">
        <v>0.959756114838763</v>
      </c>
      <c r="AK22">
        <v>24.533869113922101</v>
      </c>
      <c r="AL22">
        <f t="shared" si="0"/>
        <v>1.3897660440205175</v>
      </c>
    </row>
    <row r="23" spans="1:38" x14ac:dyDescent="0.25">
      <c r="A23" s="1"/>
      <c r="B23" t="s">
        <v>11</v>
      </c>
      <c r="C23">
        <v>0.97684956844500803</v>
      </c>
      <c r="D23">
        <v>0.974427751265312</v>
      </c>
      <c r="E23">
        <v>0.97634101682673202</v>
      </c>
      <c r="F23">
        <v>0.97356340529037699</v>
      </c>
      <c r="G23">
        <v>0.97978895509539599</v>
      </c>
      <c r="H23">
        <v>0.97619413938456501</v>
      </c>
      <c r="AI23">
        <v>19</v>
      </c>
      <c r="AJ23">
        <v>0.95991077984071504</v>
      </c>
      <c r="AK23">
        <v>24.0794103240966</v>
      </c>
      <c r="AL23">
        <f t="shared" si="0"/>
        <v>1.381645847364581</v>
      </c>
    </row>
    <row r="24" spans="1:38" x14ac:dyDescent="0.25">
      <c r="A24" s="1"/>
      <c r="B24" t="s">
        <v>12</v>
      </c>
      <c r="C24">
        <v>15.200286388397201</v>
      </c>
      <c r="D24">
        <v>15.1638718605041</v>
      </c>
      <c r="E24">
        <v>14.7403065681457</v>
      </c>
      <c r="F24">
        <v>14.6267970085144</v>
      </c>
      <c r="G24">
        <v>14.8407081127166</v>
      </c>
      <c r="H24">
        <v>14.9143939876556</v>
      </c>
      <c r="AI24">
        <v>20</v>
      </c>
      <c r="AJ24">
        <v>0.96591518919529096</v>
      </c>
      <c r="AK24">
        <v>64.067157716751097</v>
      </c>
      <c r="AL24">
        <f t="shared" si="0"/>
        <v>1.806635457325529</v>
      </c>
    </row>
    <row r="25" spans="1:38" x14ac:dyDescent="0.25">
      <c r="A25" t="s">
        <v>17</v>
      </c>
      <c r="B25" t="s">
        <v>9</v>
      </c>
      <c r="C25">
        <v>0.93901147959654196</v>
      </c>
      <c r="D25">
        <v>0.93351370511966203</v>
      </c>
      <c r="E25">
        <v>0.93415751848268902</v>
      </c>
      <c r="F25">
        <v>0.93523172447787595</v>
      </c>
      <c r="G25">
        <v>0.93609038826375901</v>
      </c>
      <c r="H25">
        <v>0.93560096318810604</v>
      </c>
    </row>
    <row r="26" spans="1:38" x14ac:dyDescent="0.25">
      <c r="A26" s="2" t="s">
        <v>37</v>
      </c>
      <c r="B26" t="s">
        <v>10</v>
      </c>
      <c r="C26">
        <v>0.16219591860229099</v>
      </c>
      <c r="D26">
        <v>0.17712768444134599</v>
      </c>
      <c r="E26">
        <v>0.172768528519955</v>
      </c>
      <c r="F26">
        <v>0.16756313498608399</v>
      </c>
      <c r="G26">
        <v>0.16654805102234299</v>
      </c>
      <c r="H26">
        <v>0.16924066351440401</v>
      </c>
    </row>
    <row r="27" spans="1:38" x14ac:dyDescent="0.25">
      <c r="A27" s="1"/>
      <c r="B27" t="s">
        <v>11</v>
      </c>
      <c r="C27">
        <v>0.97823437956683301</v>
      </c>
      <c r="D27">
        <v>0.97407803657459002</v>
      </c>
      <c r="E27">
        <v>0.97518552944175496</v>
      </c>
      <c r="F27">
        <v>0.97744079626312796</v>
      </c>
      <c r="G27">
        <v>0.97680994543781297</v>
      </c>
      <c r="H27">
        <v>0.97634973745682396</v>
      </c>
    </row>
    <row r="28" spans="1:38" x14ac:dyDescent="0.25">
      <c r="A28" s="1"/>
      <c r="B28" t="s">
        <v>12</v>
      </c>
      <c r="C28">
        <v>14.9569554805755</v>
      </c>
      <c r="D28">
        <v>14.8882771492004</v>
      </c>
      <c r="E28">
        <v>14.994270658493001</v>
      </c>
      <c r="F28">
        <v>15.0550652503967</v>
      </c>
      <c r="G28">
        <v>14.863621234893699</v>
      </c>
      <c r="H28">
        <v>14.9516379547119</v>
      </c>
    </row>
    <row r="29" spans="1:38" x14ac:dyDescent="0.25">
      <c r="A29" t="s">
        <v>18</v>
      </c>
      <c r="B29" t="s">
        <v>9</v>
      </c>
      <c r="C29">
        <v>0.94206070822698196</v>
      </c>
      <c r="D29">
        <v>0.94004171564514705</v>
      </c>
      <c r="E29">
        <v>0.94120157402631499</v>
      </c>
      <c r="F29">
        <v>0.94034309471681699</v>
      </c>
      <c r="G29">
        <v>0.94094393430574497</v>
      </c>
      <c r="H29">
        <v>0.94091820538420101</v>
      </c>
    </row>
    <row r="30" spans="1:38" x14ac:dyDescent="0.25">
      <c r="A30" s="2" t="s">
        <v>38</v>
      </c>
      <c r="B30" t="s">
        <v>10</v>
      </c>
      <c r="C30">
        <v>0.165163937709604</v>
      </c>
      <c r="D30">
        <v>0.16861972296960501</v>
      </c>
      <c r="E30">
        <v>0.16906849731176199</v>
      </c>
      <c r="F30">
        <v>0.16635917304796299</v>
      </c>
      <c r="G30">
        <v>0.166789059593279</v>
      </c>
      <c r="H30">
        <v>0.167200078126443</v>
      </c>
    </row>
    <row r="31" spans="1:38" x14ac:dyDescent="0.25">
      <c r="A31" s="1"/>
      <c r="B31" t="s">
        <v>11</v>
      </c>
      <c r="C31">
        <v>0.97415232881221203</v>
      </c>
      <c r="D31">
        <v>0.97223514399195499</v>
      </c>
      <c r="E31">
        <v>0.97334461183005905</v>
      </c>
      <c r="F31">
        <v>0.974388630460986</v>
      </c>
      <c r="G31">
        <v>0.97424934075259195</v>
      </c>
      <c r="H31">
        <v>0.97367401116956098</v>
      </c>
    </row>
    <row r="32" spans="1:38" x14ac:dyDescent="0.25">
      <c r="A32" s="1"/>
      <c r="B32" t="s">
        <v>12</v>
      </c>
      <c r="C32">
        <v>13.2892503261566</v>
      </c>
      <c r="D32">
        <v>13.1004566192626</v>
      </c>
      <c r="E32">
        <v>13.2633736133575</v>
      </c>
      <c r="F32">
        <v>13.1637946605682</v>
      </c>
      <c r="G32">
        <v>13.267474508285501</v>
      </c>
      <c r="H32">
        <v>13.216869945526099</v>
      </c>
    </row>
    <row r="33" spans="1:8" x14ac:dyDescent="0.25">
      <c r="A33" t="s">
        <v>19</v>
      </c>
      <c r="B33" t="s">
        <v>9</v>
      </c>
      <c r="C33">
        <v>0.94021345393661504</v>
      </c>
      <c r="D33">
        <v>0.938152197814766</v>
      </c>
      <c r="E33">
        <v>0.94386431540444204</v>
      </c>
      <c r="F33">
        <v>0.94180281946329103</v>
      </c>
      <c r="G33">
        <v>0.94446567152725003</v>
      </c>
      <c r="H33">
        <v>0.94169969162927303</v>
      </c>
    </row>
    <row r="34" spans="1:8" x14ac:dyDescent="0.25">
      <c r="A34" s="2" t="s">
        <v>39</v>
      </c>
      <c r="B34" t="s">
        <v>10</v>
      </c>
      <c r="C34">
        <v>0.17069005074136401</v>
      </c>
      <c r="D34">
        <v>0.17090965249558701</v>
      </c>
      <c r="E34">
        <v>0.154025607972542</v>
      </c>
      <c r="F34">
        <v>0.15998839807326801</v>
      </c>
      <c r="G34">
        <v>0.159667726306289</v>
      </c>
      <c r="H34">
        <v>0.16305628711781001</v>
      </c>
    </row>
    <row r="35" spans="1:8" x14ac:dyDescent="0.25">
      <c r="A35" s="1"/>
      <c r="B35" t="s">
        <v>11</v>
      </c>
      <c r="C35">
        <v>0.97333060817991202</v>
      </c>
      <c r="D35">
        <v>0.97339302743691303</v>
      </c>
      <c r="E35">
        <v>0.97795879725866397</v>
      </c>
      <c r="F35">
        <v>0.97689253688467903</v>
      </c>
      <c r="G35">
        <v>0.975003142853058</v>
      </c>
      <c r="H35">
        <v>0.97531562252264503</v>
      </c>
    </row>
    <row r="36" spans="1:8" x14ac:dyDescent="0.25">
      <c r="A36" s="1"/>
      <c r="B36" t="s">
        <v>12</v>
      </c>
      <c r="C36">
        <v>13.189337205886799</v>
      </c>
      <c r="D36">
        <v>13.384619188308699</v>
      </c>
      <c r="E36">
        <v>13.2710756778717</v>
      </c>
      <c r="F36">
        <v>13.2843044757843</v>
      </c>
      <c r="G36">
        <v>13.295514488220199</v>
      </c>
      <c r="H36">
        <v>13.2849702072143</v>
      </c>
    </row>
    <row r="37" spans="1:8" x14ac:dyDescent="0.25">
      <c r="A37" t="s">
        <v>20</v>
      </c>
      <c r="B37" t="s">
        <v>9</v>
      </c>
      <c r="C37">
        <v>0.93914041014265903</v>
      </c>
      <c r="D37">
        <v>0.94390744598346898</v>
      </c>
      <c r="E37">
        <v>0.94167366754551196</v>
      </c>
      <c r="F37">
        <v>0.94536777027819696</v>
      </c>
      <c r="G37">
        <v>0.94493805098484496</v>
      </c>
      <c r="H37">
        <v>0.94300546898693605</v>
      </c>
    </row>
    <row r="38" spans="1:8" x14ac:dyDescent="0.25">
      <c r="A38" s="2" t="s">
        <v>40</v>
      </c>
      <c r="B38" t="s">
        <v>10</v>
      </c>
      <c r="C38">
        <v>0.161980819660451</v>
      </c>
      <c r="D38">
        <v>0.153254987742171</v>
      </c>
      <c r="E38">
        <v>0.15677899872416001</v>
      </c>
      <c r="F38">
        <v>0.14894209693066099</v>
      </c>
      <c r="G38">
        <v>0.14388854286459901</v>
      </c>
      <c r="H38">
        <v>0.15296908918440799</v>
      </c>
    </row>
    <row r="39" spans="1:8" x14ac:dyDescent="0.25">
      <c r="A39" s="1"/>
      <c r="B39" t="s">
        <v>11</v>
      </c>
      <c r="C39">
        <v>0.97784939957411998</v>
      </c>
      <c r="D39">
        <v>0.97974002822347295</v>
      </c>
      <c r="E39">
        <v>0.98014010038284605</v>
      </c>
      <c r="F39">
        <v>0.98127071365186203</v>
      </c>
      <c r="G39">
        <v>0.98217358070256799</v>
      </c>
      <c r="H39">
        <v>0.980234764506974</v>
      </c>
    </row>
    <row r="40" spans="1:8" x14ac:dyDescent="0.25">
      <c r="A40" s="1"/>
      <c r="B40" t="s">
        <v>12</v>
      </c>
      <c r="C40">
        <v>14.568105173110901</v>
      </c>
      <c r="D40">
        <v>14.6631925582885</v>
      </c>
      <c r="E40">
        <v>14.508312797546299</v>
      </c>
      <c r="F40">
        <v>14.572989320754999</v>
      </c>
      <c r="G40">
        <v>14.9563344478607</v>
      </c>
      <c r="H40">
        <v>14.6537868595123</v>
      </c>
    </row>
    <row r="41" spans="1:8" x14ac:dyDescent="0.25">
      <c r="A41" t="s">
        <v>21</v>
      </c>
      <c r="B41" t="s">
        <v>9</v>
      </c>
      <c r="C41">
        <v>0.94863166485510797</v>
      </c>
      <c r="D41">
        <v>0.94691395910675003</v>
      </c>
      <c r="E41">
        <v>0.94755792005088602</v>
      </c>
      <c r="F41">
        <v>0.94674236839639103</v>
      </c>
      <c r="G41">
        <v>0.94846012948766401</v>
      </c>
      <c r="H41">
        <v>0.94766120837935997</v>
      </c>
    </row>
    <row r="42" spans="1:8" x14ac:dyDescent="0.25">
      <c r="A42" s="2" t="s">
        <v>41</v>
      </c>
      <c r="B42" t="s">
        <v>10</v>
      </c>
      <c r="C42">
        <v>0.139728956966924</v>
      </c>
      <c r="D42">
        <v>0.145595461197459</v>
      </c>
      <c r="E42">
        <v>0.14377603022272401</v>
      </c>
      <c r="F42">
        <v>0.14282076837247901</v>
      </c>
      <c r="G42">
        <v>0.138481307092963</v>
      </c>
      <c r="H42">
        <v>0.14208050477051001</v>
      </c>
    </row>
    <row r="43" spans="1:8" x14ac:dyDescent="0.25">
      <c r="A43" s="1"/>
      <c r="B43" t="s">
        <v>11</v>
      </c>
      <c r="C43">
        <v>0.98253736226477095</v>
      </c>
      <c r="D43">
        <v>0.98129413410529798</v>
      </c>
      <c r="E43">
        <v>0.98272220016075895</v>
      </c>
      <c r="F43">
        <v>0.98199764962920599</v>
      </c>
      <c r="G43">
        <v>0.98346830977341404</v>
      </c>
      <c r="H43">
        <v>0.98240393118669</v>
      </c>
    </row>
    <row r="44" spans="1:8" x14ac:dyDescent="0.25">
      <c r="A44" s="1"/>
      <c r="B44" t="s">
        <v>12</v>
      </c>
      <c r="C44">
        <v>14.6507288455963</v>
      </c>
      <c r="D44">
        <v>14.6529408931732</v>
      </c>
      <c r="E44">
        <v>14.671679115295399</v>
      </c>
      <c r="F44">
        <v>15.1012183666229</v>
      </c>
      <c r="G44">
        <v>14.735822820663399</v>
      </c>
      <c r="H44">
        <v>14.7624780082702</v>
      </c>
    </row>
    <row r="45" spans="1:8" x14ac:dyDescent="0.25">
      <c r="A45" t="s">
        <v>22</v>
      </c>
      <c r="B45" t="s">
        <v>9</v>
      </c>
      <c r="C45">
        <v>0.95202551382207701</v>
      </c>
      <c r="D45">
        <v>0.94811619171376305</v>
      </c>
      <c r="E45">
        <v>0.94979179072703601</v>
      </c>
      <c r="F45">
        <v>0.94923371276436297</v>
      </c>
      <c r="G45">
        <v>0.94601135304574202</v>
      </c>
      <c r="H45">
        <v>0.94903571241459606</v>
      </c>
    </row>
    <row r="46" spans="1:8" x14ac:dyDescent="0.25">
      <c r="A46" s="2" t="s">
        <v>42</v>
      </c>
      <c r="B46" t="s">
        <v>10</v>
      </c>
      <c r="C46">
        <v>0.131013356107954</v>
      </c>
      <c r="D46">
        <v>0.13915901782769599</v>
      </c>
      <c r="E46">
        <v>0.140021473572743</v>
      </c>
      <c r="F46">
        <v>0.140748204823474</v>
      </c>
      <c r="G46">
        <v>0.14707139793091301</v>
      </c>
      <c r="H46">
        <v>0.13960269005255599</v>
      </c>
    </row>
    <row r="47" spans="1:8" x14ac:dyDescent="0.25">
      <c r="A47" s="1"/>
      <c r="B47" t="s">
        <v>11</v>
      </c>
      <c r="C47">
        <v>0.98529630531211498</v>
      </c>
      <c r="D47">
        <v>0.98418541215761901</v>
      </c>
      <c r="E47">
        <v>0.98447727454774003</v>
      </c>
      <c r="F47">
        <v>0.98221948554482197</v>
      </c>
      <c r="G47">
        <v>0.98330072864334495</v>
      </c>
      <c r="H47">
        <v>0.98389584124112806</v>
      </c>
    </row>
    <row r="48" spans="1:8" x14ac:dyDescent="0.25">
      <c r="A48" s="1"/>
      <c r="B48" t="s">
        <v>12</v>
      </c>
      <c r="C48">
        <v>18.029923534393301</v>
      </c>
      <c r="D48">
        <v>18.335859489440899</v>
      </c>
      <c r="E48">
        <v>18.180922079086301</v>
      </c>
      <c r="F48">
        <v>18.316094875335601</v>
      </c>
      <c r="G48">
        <v>18.300038480758602</v>
      </c>
      <c r="H48">
        <v>18.232567691802899</v>
      </c>
    </row>
    <row r="49" spans="1:8" x14ac:dyDescent="0.25">
      <c r="A49" t="s">
        <v>23</v>
      </c>
      <c r="B49" t="s">
        <v>9</v>
      </c>
      <c r="C49">
        <v>0.952282876828068</v>
      </c>
      <c r="D49">
        <v>0.95095184280840905</v>
      </c>
      <c r="E49">
        <v>0.95039305461165102</v>
      </c>
      <c r="F49">
        <v>0.95176721921033702</v>
      </c>
      <c r="G49">
        <v>0.95468759108521495</v>
      </c>
      <c r="H49">
        <v>0.95201651690873601</v>
      </c>
    </row>
    <row r="50" spans="1:8" x14ac:dyDescent="0.25">
      <c r="A50" s="2" t="s">
        <v>43</v>
      </c>
      <c r="B50" t="s">
        <v>10</v>
      </c>
      <c r="C50">
        <v>0.13200928291223199</v>
      </c>
      <c r="D50">
        <v>0.13263987462466001</v>
      </c>
      <c r="E50">
        <v>0.13438385959187199</v>
      </c>
      <c r="F50">
        <v>0.127680620726454</v>
      </c>
      <c r="G50">
        <v>0.12853666886436699</v>
      </c>
      <c r="H50">
        <v>0.131050061343917</v>
      </c>
    </row>
    <row r="51" spans="1:8" x14ac:dyDescent="0.25">
      <c r="A51" s="1"/>
      <c r="B51" t="s">
        <v>11</v>
      </c>
      <c r="C51">
        <v>0.98561778429228597</v>
      </c>
      <c r="D51">
        <v>0.98419445405697703</v>
      </c>
      <c r="E51">
        <v>0.98544163322866396</v>
      </c>
      <c r="F51">
        <v>0.98710152153019803</v>
      </c>
      <c r="G51">
        <v>0.98674508959067597</v>
      </c>
      <c r="H51">
        <v>0.98582009653975999</v>
      </c>
    </row>
    <row r="52" spans="1:8" x14ac:dyDescent="0.25">
      <c r="A52" s="1"/>
      <c r="B52" t="s">
        <v>12</v>
      </c>
      <c r="C52">
        <v>18.484600830078101</v>
      </c>
      <c r="D52">
        <v>18.785769271850501</v>
      </c>
      <c r="E52">
        <v>18.403709506988498</v>
      </c>
      <c r="F52">
        <v>18.1446096897125</v>
      </c>
      <c r="G52">
        <v>18.107336807250899</v>
      </c>
      <c r="H52">
        <v>18.385205221176101</v>
      </c>
    </row>
    <row r="53" spans="1:8" x14ac:dyDescent="0.25">
      <c r="A53" t="s">
        <v>24</v>
      </c>
      <c r="B53" t="s">
        <v>9</v>
      </c>
      <c r="C53">
        <v>0.94815948832153796</v>
      </c>
      <c r="D53">
        <v>0.94304818264933099</v>
      </c>
      <c r="E53">
        <v>0.94511037960074795</v>
      </c>
      <c r="F53">
        <v>0.94811635774251002</v>
      </c>
      <c r="G53">
        <v>0.94515292907916004</v>
      </c>
      <c r="H53">
        <v>0.94591746747865701</v>
      </c>
    </row>
    <row r="54" spans="1:8" x14ac:dyDescent="0.25">
      <c r="A54" s="2" t="s">
        <v>44</v>
      </c>
      <c r="B54" t="s">
        <v>10</v>
      </c>
      <c r="C54">
        <v>0.14799567810292499</v>
      </c>
      <c r="D54">
        <v>0.164714238418989</v>
      </c>
      <c r="E54">
        <v>0.15720064625324501</v>
      </c>
      <c r="F54">
        <v>0.149234727174202</v>
      </c>
      <c r="G54">
        <v>0.155495071067312</v>
      </c>
      <c r="H54">
        <v>0.15492807220333499</v>
      </c>
    </row>
    <row r="55" spans="1:8" x14ac:dyDescent="0.25">
      <c r="A55" s="1"/>
      <c r="B55" t="s">
        <v>11</v>
      </c>
      <c r="C55">
        <v>0.97789540724023405</v>
      </c>
      <c r="D55">
        <v>0.974216514966328</v>
      </c>
      <c r="E55">
        <v>0.97587886602777596</v>
      </c>
      <c r="F55">
        <v>0.97813517353936597</v>
      </c>
      <c r="G55">
        <v>0.97653613084735202</v>
      </c>
      <c r="H55">
        <v>0.97653241852421102</v>
      </c>
    </row>
    <row r="56" spans="1:8" x14ac:dyDescent="0.25">
      <c r="A56" s="1"/>
      <c r="B56" t="s">
        <v>12</v>
      </c>
      <c r="C56">
        <v>21.385146236419601</v>
      </c>
      <c r="D56">
        <v>21.854050874710001</v>
      </c>
      <c r="E56">
        <v>21.2007746219635</v>
      </c>
      <c r="F56">
        <v>21.256443929672201</v>
      </c>
      <c r="G56">
        <v>21.3055059432983</v>
      </c>
      <c r="H56">
        <v>21.400384321212702</v>
      </c>
    </row>
    <row r="57" spans="1:8" x14ac:dyDescent="0.25">
      <c r="A57" t="s">
        <v>25</v>
      </c>
      <c r="B57" t="s">
        <v>9</v>
      </c>
      <c r="C57">
        <v>0.94098676972255402</v>
      </c>
      <c r="D57">
        <v>0.94639843062248896</v>
      </c>
      <c r="E57">
        <v>0.94085813433865495</v>
      </c>
      <c r="F57">
        <v>0.94360663878859496</v>
      </c>
      <c r="G57">
        <v>0.9440361920532</v>
      </c>
      <c r="H57">
        <v>0.94317723310509904</v>
      </c>
    </row>
    <row r="58" spans="1:8" x14ac:dyDescent="0.25">
      <c r="A58" s="2" t="s">
        <v>45</v>
      </c>
      <c r="B58" t="s">
        <v>10</v>
      </c>
      <c r="C58">
        <v>0.16485035006643201</v>
      </c>
      <c r="D58">
        <v>0.152092811739448</v>
      </c>
      <c r="E58">
        <v>0.16503103652732101</v>
      </c>
      <c r="F58">
        <v>0.160017829316659</v>
      </c>
      <c r="G58">
        <v>0.157700515516561</v>
      </c>
      <c r="H58">
        <v>0.15993850863328399</v>
      </c>
    </row>
    <row r="59" spans="1:8" x14ac:dyDescent="0.25">
      <c r="A59" s="1"/>
      <c r="B59" t="s">
        <v>11</v>
      </c>
      <c r="C59">
        <v>0.97493181042275501</v>
      </c>
      <c r="D59">
        <v>0.97797408397720298</v>
      </c>
      <c r="E59">
        <v>0.97429554427283005</v>
      </c>
      <c r="F59">
        <v>0.97770300363804097</v>
      </c>
      <c r="G59">
        <v>0.97661714456161097</v>
      </c>
      <c r="H59">
        <v>0.97630431737448797</v>
      </c>
    </row>
    <row r="60" spans="1:8" x14ac:dyDescent="0.25">
      <c r="A60" s="1"/>
      <c r="B60" t="s">
        <v>12</v>
      </c>
      <c r="C60">
        <v>21.264421463012599</v>
      </c>
      <c r="D60">
        <v>21.351625394821099</v>
      </c>
      <c r="E60">
        <v>21.523066854476902</v>
      </c>
      <c r="F60">
        <v>21.545867776870701</v>
      </c>
      <c r="G60">
        <v>21.165396881103501</v>
      </c>
      <c r="H60">
        <v>21.370075674056999</v>
      </c>
    </row>
    <row r="61" spans="1:8" x14ac:dyDescent="0.25">
      <c r="A61" t="s">
        <v>26</v>
      </c>
      <c r="B61" t="s">
        <v>9</v>
      </c>
      <c r="C61">
        <v>0.95211104629840704</v>
      </c>
      <c r="D61">
        <v>0.94992022318691005</v>
      </c>
      <c r="E61">
        <v>0.95146629210581202</v>
      </c>
      <c r="F61">
        <v>0.94966275871890704</v>
      </c>
      <c r="G61">
        <v>0.94927593940909905</v>
      </c>
      <c r="H61">
        <v>0.95048725194382699</v>
      </c>
    </row>
    <row r="62" spans="1:8" x14ac:dyDescent="0.25">
      <c r="A62" s="2" t="s">
        <v>46</v>
      </c>
      <c r="B62" t="s">
        <v>10</v>
      </c>
      <c r="C62">
        <v>0.13428870769200499</v>
      </c>
      <c r="D62">
        <v>0.134526418579339</v>
      </c>
      <c r="E62">
        <v>0.138207261856754</v>
      </c>
      <c r="F62">
        <v>0.142746921180231</v>
      </c>
      <c r="G62">
        <v>0.143337851932963</v>
      </c>
      <c r="H62">
        <v>0.13862143224825799</v>
      </c>
    </row>
    <row r="63" spans="1:8" x14ac:dyDescent="0.25">
      <c r="A63" s="1"/>
      <c r="B63" t="s">
        <v>11</v>
      </c>
      <c r="C63">
        <v>0.98482237839818099</v>
      </c>
      <c r="D63">
        <v>0.98479481494946297</v>
      </c>
      <c r="E63">
        <v>0.98204584711889298</v>
      </c>
      <c r="F63">
        <v>0.98252084686887997</v>
      </c>
      <c r="G63">
        <v>0.98135008851717997</v>
      </c>
      <c r="H63">
        <v>0.98310679517051902</v>
      </c>
    </row>
    <row r="64" spans="1:8" x14ac:dyDescent="0.25">
      <c r="A64" s="1"/>
      <c r="B64" t="s">
        <v>12</v>
      </c>
      <c r="C64">
        <v>23.016400480270299</v>
      </c>
      <c r="D64">
        <v>23.0472081184387</v>
      </c>
      <c r="E64">
        <v>23.123282337188702</v>
      </c>
      <c r="F64">
        <v>23.016386365890501</v>
      </c>
      <c r="G64">
        <v>22.9336415290832</v>
      </c>
      <c r="H64">
        <v>23.027383766174299</v>
      </c>
    </row>
    <row r="65" spans="1:8" x14ac:dyDescent="0.25">
      <c r="A65" t="s">
        <v>27</v>
      </c>
      <c r="B65" t="s">
        <v>9</v>
      </c>
      <c r="C65">
        <v>0.95400082239572803</v>
      </c>
      <c r="D65">
        <v>0.95056471911256502</v>
      </c>
      <c r="E65">
        <v>0.95498821380370302</v>
      </c>
      <c r="F65">
        <v>0.95219715987535303</v>
      </c>
      <c r="G65">
        <v>0.95206786037646396</v>
      </c>
      <c r="H65">
        <v>0.95276375511276301</v>
      </c>
    </row>
    <row r="66" spans="1:8" x14ac:dyDescent="0.25">
      <c r="A66" s="2" t="s">
        <v>47</v>
      </c>
      <c r="B66" t="s">
        <v>10</v>
      </c>
      <c r="C66">
        <v>0.12946789800795699</v>
      </c>
      <c r="D66">
        <v>0.143280600458005</v>
      </c>
      <c r="E66">
        <v>0.124120417398601</v>
      </c>
      <c r="F66">
        <v>0.13966704979309699</v>
      </c>
      <c r="G66">
        <v>0.14046363644933699</v>
      </c>
      <c r="H66">
        <v>0.13539992042139901</v>
      </c>
    </row>
    <row r="67" spans="1:8" x14ac:dyDescent="0.25">
      <c r="A67" s="1"/>
      <c r="B67" t="s">
        <v>11</v>
      </c>
      <c r="C67">
        <v>0.984883032363574</v>
      </c>
      <c r="D67">
        <v>0.97953653577071398</v>
      </c>
      <c r="E67">
        <v>0.98591637138789801</v>
      </c>
      <c r="F67">
        <v>0.98047753452584896</v>
      </c>
      <c r="G67">
        <v>0.981625383796216</v>
      </c>
      <c r="H67">
        <v>0.98248777156885003</v>
      </c>
    </row>
    <row r="68" spans="1:8" x14ac:dyDescent="0.25">
      <c r="A68" s="1"/>
      <c r="B68" t="s">
        <v>12</v>
      </c>
      <c r="C68">
        <v>22.808997344970699</v>
      </c>
      <c r="D68">
        <v>22.2952005386352</v>
      </c>
      <c r="E68">
        <v>22.3931859016418</v>
      </c>
      <c r="F68">
        <v>23.360088062286302</v>
      </c>
      <c r="G68">
        <v>23.195905828475901</v>
      </c>
      <c r="H68">
        <v>22.810675535202002</v>
      </c>
    </row>
    <row r="69" spans="1:8" x14ac:dyDescent="0.25">
      <c r="A69" t="s">
        <v>28</v>
      </c>
      <c r="B69" t="s">
        <v>9</v>
      </c>
      <c r="C69">
        <v>0.96147382243188495</v>
      </c>
      <c r="D69">
        <v>0.95885363975598903</v>
      </c>
      <c r="E69">
        <v>0.95979880451922805</v>
      </c>
      <c r="F69">
        <v>0.96100170124123097</v>
      </c>
      <c r="G69">
        <v>0.95533168116282097</v>
      </c>
      <c r="H69">
        <v>0.95929192982223099</v>
      </c>
    </row>
    <row r="70" spans="1:8" x14ac:dyDescent="0.25">
      <c r="A70" s="2" t="s">
        <v>48</v>
      </c>
      <c r="B70" t="s">
        <v>10</v>
      </c>
      <c r="C70">
        <v>0.105845995192938</v>
      </c>
      <c r="D70">
        <v>0.114549065892727</v>
      </c>
      <c r="E70">
        <v>0.110394469407617</v>
      </c>
      <c r="F70">
        <v>0.113397971067416</v>
      </c>
      <c r="G70">
        <v>0.124010531466341</v>
      </c>
      <c r="H70">
        <v>0.11363960660540801</v>
      </c>
    </row>
    <row r="71" spans="1:8" x14ac:dyDescent="0.25">
      <c r="A71" s="1"/>
      <c r="B71" t="s">
        <v>11</v>
      </c>
      <c r="C71">
        <v>0.99087107710245803</v>
      </c>
      <c r="D71">
        <v>0.98991582944692402</v>
      </c>
      <c r="E71">
        <v>0.98977994220221499</v>
      </c>
      <c r="F71">
        <v>0.98883446627424898</v>
      </c>
      <c r="G71">
        <v>0.987716634846035</v>
      </c>
      <c r="H71">
        <v>0.98942358997437596</v>
      </c>
    </row>
    <row r="72" spans="1:8" x14ac:dyDescent="0.25">
      <c r="A72" s="1"/>
      <c r="B72" t="s">
        <v>12</v>
      </c>
      <c r="C72">
        <v>27.030646896362299</v>
      </c>
      <c r="D72">
        <v>27.542280149459799</v>
      </c>
      <c r="E72">
        <v>27.113740921020501</v>
      </c>
      <c r="F72">
        <v>26.679978275299</v>
      </c>
      <c r="G72">
        <v>26.678295707702599</v>
      </c>
      <c r="H72">
        <v>27.008988389968799</v>
      </c>
    </row>
    <row r="73" spans="1:8" x14ac:dyDescent="0.25">
      <c r="A73" t="s">
        <v>29</v>
      </c>
      <c r="B73" t="s">
        <v>9</v>
      </c>
      <c r="C73">
        <v>0.96168891267404399</v>
      </c>
      <c r="D73">
        <v>0.95846749378498997</v>
      </c>
      <c r="E73">
        <v>0.95915448384613999</v>
      </c>
      <c r="F73">
        <v>0.95795236192495903</v>
      </c>
      <c r="G73">
        <v>0.961517321963684</v>
      </c>
      <c r="H73">
        <v>0.959756114838763</v>
      </c>
    </row>
    <row r="74" spans="1:8" x14ac:dyDescent="0.25">
      <c r="A74" s="2" t="s">
        <v>49</v>
      </c>
      <c r="B74" t="s">
        <v>10</v>
      </c>
      <c r="C74">
        <v>0.109507526831034</v>
      </c>
      <c r="D74">
        <v>0.117800800548546</v>
      </c>
      <c r="E74">
        <v>0.114605980842635</v>
      </c>
      <c r="F74">
        <v>0.114125747036413</v>
      </c>
      <c r="G74">
        <v>0.110652467193243</v>
      </c>
      <c r="H74">
        <v>0.113338504490374</v>
      </c>
    </row>
    <row r="75" spans="1:8" x14ac:dyDescent="0.25">
      <c r="A75" s="1"/>
      <c r="B75" t="s">
        <v>11</v>
      </c>
      <c r="C75">
        <v>0.98967770577859804</v>
      </c>
      <c r="D75">
        <v>0.98790615836329498</v>
      </c>
      <c r="E75">
        <v>0.98876958545254501</v>
      </c>
      <c r="F75">
        <v>0.98944807751257902</v>
      </c>
      <c r="G75">
        <v>0.98932604886929798</v>
      </c>
      <c r="H75">
        <v>0.98902551519526305</v>
      </c>
    </row>
    <row r="76" spans="1:8" x14ac:dyDescent="0.25">
      <c r="A76" s="1"/>
      <c r="B76" t="s">
        <v>12</v>
      </c>
      <c r="C76">
        <v>26.2890100955963</v>
      </c>
      <c r="D76">
        <v>26.539267015457099</v>
      </c>
      <c r="E76">
        <v>24.924901342391902</v>
      </c>
      <c r="F76">
        <v>22.214944553375201</v>
      </c>
      <c r="G76">
        <v>22.701222562789901</v>
      </c>
      <c r="H76">
        <v>24.533869113922101</v>
      </c>
    </row>
    <row r="77" spans="1:8" x14ac:dyDescent="0.25">
      <c r="A77" t="s">
        <v>50</v>
      </c>
      <c r="B77" t="s">
        <v>9</v>
      </c>
      <c r="C77">
        <v>0.95902576544786799</v>
      </c>
      <c r="D77">
        <v>0.95778051294765898</v>
      </c>
      <c r="E77">
        <v>0.96173185877668499</v>
      </c>
      <c r="F77">
        <v>0.960915716797755</v>
      </c>
      <c r="G77">
        <v>0.96010004523360903</v>
      </c>
      <c r="H77">
        <v>0.95991077984071504</v>
      </c>
    </row>
    <row r="78" spans="1:8" x14ac:dyDescent="0.25">
      <c r="A78" s="2" t="s">
        <v>30</v>
      </c>
      <c r="B78" t="s">
        <v>10</v>
      </c>
      <c r="C78">
        <v>0.118563674109658</v>
      </c>
      <c r="D78">
        <v>0.116391878285466</v>
      </c>
      <c r="E78">
        <v>0.11490871433977901</v>
      </c>
      <c r="F78">
        <v>0.10870834731988301</v>
      </c>
      <c r="G78">
        <v>0.112311133778297</v>
      </c>
      <c r="H78">
        <v>0.114176749566616</v>
      </c>
    </row>
    <row r="79" spans="1:8" x14ac:dyDescent="0.25">
      <c r="A79" s="1"/>
      <c r="B79" t="s">
        <v>11</v>
      </c>
      <c r="C79">
        <v>0.98836118404309103</v>
      </c>
      <c r="D79">
        <v>0.98690013191816095</v>
      </c>
      <c r="E79">
        <v>0.98919300929610099</v>
      </c>
      <c r="F79">
        <v>0.98988137926129105</v>
      </c>
      <c r="G79">
        <v>0.99010966161220304</v>
      </c>
      <c r="H79">
        <v>0.98888907322616904</v>
      </c>
    </row>
    <row r="80" spans="1:8" x14ac:dyDescent="0.25">
      <c r="A80" s="1"/>
      <c r="B80" t="s">
        <v>12</v>
      </c>
      <c r="C80">
        <v>23.207121801376299</v>
      </c>
      <c r="D80">
        <v>23.416738843917798</v>
      </c>
      <c r="E80">
        <v>24.664025068282999</v>
      </c>
      <c r="F80">
        <v>24.601245975494301</v>
      </c>
      <c r="G80">
        <v>24.507919931411699</v>
      </c>
      <c r="H80">
        <v>24.0794103240966</v>
      </c>
    </row>
    <row r="81" spans="1:8" x14ac:dyDescent="0.25">
      <c r="A81" t="s">
        <v>51</v>
      </c>
      <c r="B81" t="s">
        <v>9</v>
      </c>
      <c r="C81">
        <v>0.96679987706493598</v>
      </c>
      <c r="D81">
        <v>0.96581216282328497</v>
      </c>
      <c r="E81">
        <v>0.96581219049474298</v>
      </c>
      <c r="F81">
        <v>0.96641343593172002</v>
      </c>
      <c r="G81">
        <v>0.96473827966177295</v>
      </c>
      <c r="H81">
        <v>0.96591518919529096</v>
      </c>
    </row>
    <row r="82" spans="1:8" x14ac:dyDescent="0.25">
      <c r="A82" s="2" t="s">
        <v>31</v>
      </c>
      <c r="B82" t="s">
        <v>10</v>
      </c>
      <c r="C82">
        <v>9.2089232885043101E-2</v>
      </c>
      <c r="D82">
        <v>9.5625220757330501E-2</v>
      </c>
      <c r="E82">
        <v>0.100767950493297</v>
      </c>
      <c r="F82">
        <v>9.6176267660880305E-2</v>
      </c>
      <c r="G82">
        <v>0.101392207903827</v>
      </c>
      <c r="H82">
        <v>9.7210175940075805E-2</v>
      </c>
    </row>
    <row r="83" spans="1:8" x14ac:dyDescent="0.25">
      <c r="A83" s="1"/>
      <c r="B83" t="s">
        <v>11</v>
      </c>
      <c r="C83">
        <v>0.99277444882851495</v>
      </c>
      <c r="D83">
        <v>0.99207297549281004</v>
      </c>
      <c r="E83">
        <v>0.99090026090109795</v>
      </c>
      <c r="F83">
        <v>0.99201934157500404</v>
      </c>
      <c r="G83">
        <v>0.99079225503134605</v>
      </c>
      <c r="H83">
        <v>0.99171185636575498</v>
      </c>
    </row>
    <row r="84" spans="1:8" x14ac:dyDescent="0.25">
      <c r="A84" s="1"/>
      <c r="B84" t="s">
        <v>12</v>
      </c>
      <c r="C84">
        <v>63.712411451339698</v>
      </c>
      <c r="D84">
        <v>64.198558139800994</v>
      </c>
      <c r="E84">
        <v>64.279452800750704</v>
      </c>
      <c r="F84">
        <v>64.4095129489898</v>
      </c>
      <c r="G84">
        <v>63.7358532428741</v>
      </c>
      <c r="H84">
        <v>64.067157716751097</v>
      </c>
    </row>
  </sheetData>
  <mergeCells count="20">
    <mergeCell ref="A78:A80"/>
    <mergeCell ref="A82:A84"/>
    <mergeCell ref="A54:A56"/>
    <mergeCell ref="A58:A60"/>
    <mergeCell ref="A62:A64"/>
    <mergeCell ref="A66:A68"/>
    <mergeCell ref="A70:A72"/>
    <mergeCell ref="A74:A76"/>
    <mergeCell ref="A30:A32"/>
    <mergeCell ref="A34:A36"/>
    <mergeCell ref="A38:A40"/>
    <mergeCell ref="A42:A44"/>
    <mergeCell ref="A46:A48"/>
    <mergeCell ref="A50:A52"/>
    <mergeCell ref="A6:A8"/>
    <mergeCell ref="A10:A12"/>
    <mergeCell ref="A14:A16"/>
    <mergeCell ref="A18:A20"/>
    <mergeCell ref="A22:A24"/>
    <mergeCell ref="A26:A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Ong</dc:creator>
  <cp:lastModifiedBy>#TIM ONG ZIRUI#</cp:lastModifiedBy>
  <dcterms:created xsi:type="dcterms:W3CDTF">2015-06-05T18:17:20Z</dcterms:created>
  <dcterms:modified xsi:type="dcterms:W3CDTF">2025-10-21T19:17:40Z</dcterms:modified>
</cp:coreProperties>
</file>